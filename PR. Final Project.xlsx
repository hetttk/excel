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9F12C939-B848-400A-9042-0A13B0ADE5CA}" xr6:coauthVersionLast="47" xr6:coauthVersionMax="47" xr10:uidLastSave="{00000000-0000-0000-0000-000000000000}"/>
  <bookViews>
    <workbookView xWindow="28680" yWindow="-120" windowWidth="29040" windowHeight="15720" firstSheet="4" activeTab="10" xr2:uid="{00000000-000D-0000-FFFF-FFFF00000000}"/>
  </bookViews>
  <sheets>
    <sheet name="Final Project Dataset" sheetId="2" r:id="rId1"/>
    <sheet name="date time" sheetId="8" r:id="rId2"/>
    <sheet name="filter" sheetId="9" r:id="rId3"/>
    <sheet name="conditional format" sheetId="10" r:id="rId4"/>
    <sheet name="WHAT IF" sheetId="12" r:id="rId5"/>
    <sheet name="LINEAR REGRESISON" sheetId="13" r:id="rId6"/>
    <sheet name="GROUP BY" sheetId="14" r:id="rId7"/>
    <sheet name="product" sheetId="15" r:id="rId8"/>
    <sheet name="lists" sheetId="16" r:id="rId9"/>
    <sheet name="abbreviations" sheetId="17" r:id="rId10"/>
    <sheet name="pivot tables" sheetId="18" r:id="rId11"/>
    <sheet name="Dashboard" sheetId="20" r:id="rId12"/>
  </sheets>
  <externalReferences>
    <externalReference r:id="rId13"/>
  </externalReferences>
  <definedNames>
    <definedName name="Slicer_Category">#N/A</definedName>
    <definedName name="Slicer_Category1">#N/A</definedName>
    <definedName name="Slicer_Region">#N/A</definedName>
    <definedName name="Slicer_Region1">#N/A</definedName>
  </definedNames>
  <calcPr calcId="191029" iterate="1" iterateCount="1"/>
  <pivotCaches>
    <pivotCache cacheId="13"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7" l="1"/>
  <c r="C5" i="17"/>
  <c r="C6" i="17"/>
  <c r="C7" i="17"/>
  <c r="C3" i="17"/>
  <c r="D4" i="16"/>
  <c r="D3" i="16"/>
  <c r="D2" i="16"/>
  <c r="C8" i="15"/>
  <c r="A2" i="15" a="1"/>
  <c r="B9" i="15" s="1"/>
  <c r="B68" i="14"/>
  <c r="C68" i="14" s="1"/>
  <c r="B94" i="14"/>
  <c r="C94" i="14" s="1"/>
  <c r="B98" i="14"/>
  <c r="C98" i="14" s="1"/>
  <c r="A2" i="14" a="1"/>
  <c r="A2" i="14" l="1"/>
  <c r="B2" i="14" s="1"/>
  <c r="C2" i="14" s="1"/>
  <c r="B10" i="14"/>
  <c r="C10" i="14" s="1"/>
  <c r="B26" i="14"/>
  <c r="C26" i="14" s="1"/>
  <c r="B42" i="14"/>
  <c r="C42" i="14" s="1"/>
  <c r="B58" i="14"/>
  <c r="C58" i="14" s="1"/>
  <c r="B74" i="14"/>
  <c r="C74" i="14" s="1"/>
  <c r="B90" i="14"/>
  <c r="C90" i="14" s="1"/>
  <c r="B106" i="14"/>
  <c r="C106" i="14" s="1"/>
  <c r="B122" i="14"/>
  <c r="C122" i="14" s="1"/>
  <c r="B138" i="14"/>
  <c r="C138" i="14" s="1"/>
  <c r="B154" i="14"/>
  <c r="C154" i="14" s="1"/>
  <c r="B170" i="14"/>
  <c r="C170" i="14" s="1"/>
  <c r="B186" i="14"/>
  <c r="C186" i="14" s="1"/>
  <c r="B202" i="14"/>
  <c r="C202" i="14" s="1"/>
  <c r="B218" i="14"/>
  <c r="C218" i="14" s="1"/>
  <c r="B234" i="14"/>
  <c r="C234" i="14" s="1"/>
  <c r="B250" i="14"/>
  <c r="C250" i="14" s="1"/>
  <c r="B220" i="14"/>
  <c r="C220" i="14" s="1"/>
  <c r="B29" i="14"/>
  <c r="C29" i="14" s="1"/>
  <c r="B61" i="14"/>
  <c r="C61" i="14" s="1"/>
  <c r="B77" i="14"/>
  <c r="C77" i="14" s="1"/>
  <c r="B109" i="14"/>
  <c r="C109" i="14" s="1"/>
  <c r="B11" i="14"/>
  <c r="C11" i="14" s="1"/>
  <c r="B27" i="14"/>
  <c r="C27" i="14" s="1"/>
  <c r="B43" i="14"/>
  <c r="C43" i="14" s="1"/>
  <c r="B59" i="14"/>
  <c r="C59" i="14" s="1"/>
  <c r="B75" i="14"/>
  <c r="C75" i="14" s="1"/>
  <c r="B91" i="14"/>
  <c r="C91" i="14" s="1"/>
  <c r="B107" i="14"/>
  <c r="C107" i="14" s="1"/>
  <c r="B123" i="14"/>
  <c r="C123" i="14" s="1"/>
  <c r="B139" i="14"/>
  <c r="C139" i="14" s="1"/>
  <c r="B155" i="14"/>
  <c r="C155" i="14" s="1"/>
  <c r="B171" i="14"/>
  <c r="C171" i="14" s="1"/>
  <c r="B187" i="14"/>
  <c r="C187" i="14" s="1"/>
  <c r="B203" i="14"/>
  <c r="C203" i="14" s="1"/>
  <c r="B219" i="14"/>
  <c r="C219" i="14" s="1"/>
  <c r="B235" i="14"/>
  <c r="C235" i="14" s="1"/>
  <c r="B251" i="14"/>
  <c r="C251" i="14" s="1"/>
  <c r="B12" i="14"/>
  <c r="C12" i="14" s="1"/>
  <c r="B28" i="14"/>
  <c r="C28" i="14" s="1"/>
  <c r="B44" i="14"/>
  <c r="C44" i="14" s="1"/>
  <c r="B60" i="14"/>
  <c r="C60" i="14" s="1"/>
  <c r="B76" i="14"/>
  <c r="C76" i="14" s="1"/>
  <c r="B92" i="14"/>
  <c r="C92" i="14" s="1"/>
  <c r="B108" i="14"/>
  <c r="C108" i="14" s="1"/>
  <c r="B124" i="14"/>
  <c r="C124" i="14" s="1"/>
  <c r="B140" i="14"/>
  <c r="C140" i="14" s="1"/>
  <c r="B156" i="14"/>
  <c r="C156" i="14" s="1"/>
  <c r="B172" i="14"/>
  <c r="C172" i="14" s="1"/>
  <c r="B188" i="14"/>
  <c r="C188" i="14" s="1"/>
  <c r="B204" i="14"/>
  <c r="C204" i="14" s="1"/>
  <c r="B236" i="14"/>
  <c r="C236" i="14" s="1"/>
  <c r="B13" i="14"/>
  <c r="C13" i="14" s="1"/>
  <c r="B45" i="14"/>
  <c r="C45" i="14" s="1"/>
  <c r="B93" i="14"/>
  <c r="C93" i="14" s="1"/>
  <c r="B125" i="14"/>
  <c r="C125" i="14" s="1"/>
  <c r="B15" i="14"/>
  <c r="C15" i="14" s="1"/>
  <c r="B31" i="14"/>
  <c r="C31" i="14" s="1"/>
  <c r="B47" i="14"/>
  <c r="C47" i="14" s="1"/>
  <c r="B63" i="14"/>
  <c r="C63" i="14" s="1"/>
  <c r="B79" i="14"/>
  <c r="C79" i="14" s="1"/>
  <c r="B95" i="14"/>
  <c r="C95" i="14" s="1"/>
  <c r="B111" i="14"/>
  <c r="C111" i="14" s="1"/>
  <c r="B127" i="14"/>
  <c r="C127" i="14" s="1"/>
  <c r="B143" i="14"/>
  <c r="C143" i="14" s="1"/>
  <c r="B159" i="14"/>
  <c r="C159" i="14" s="1"/>
  <c r="B175" i="14"/>
  <c r="C175" i="14" s="1"/>
  <c r="B191" i="14"/>
  <c r="C191" i="14" s="1"/>
  <c r="B207" i="14"/>
  <c r="C207" i="14" s="1"/>
  <c r="B223" i="14"/>
  <c r="C223" i="14" s="1"/>
  <c r="B239" i="14"/>
  <c r="C239" i="14" s="1"/>
  <c r="B16" i="14"/>
  <c r="C16" i="14" s="1"/>
  <c r="B48" i="14"/>
  <c r="C48" i="14" s="1"/>
  <c r="B64" i="14"/>
  <c r="C64" i="14" s="1"/>
  <c r="B80" i="14"/>
  <c r="C80" i="14" s="1"/>
  <c r="B112" i="14"/>
  <c r="C112" i="14" s="1"/>
  <c r="B128" i="14"/>
  <c r="C128" i="14" s="1"/>
  <c r="B144" i="14"/>
  <c r="C144" i="14" s="1"/>
  <c r="B176" i="14"/>
  <c r="C176" i="14" s="1"/>
  <c r="B192" i="14"/>
  <c r="C192" i="14" s="1"/>
  <c r="B224" i="14"/>
  <c r="C224" i="14" s="1"/>
  <c r="B17" i="14"/>
  <c r="C17" i="14" s="1"/>
  <c r="B49" i="14"/>
  <c r="C49" i="14" s="1"/>
  <c r="B65" i="14"/>
  <c r="C65" i="14" s="1"/>
  <c r="B81" i="14"/>
  <c r="C81" i="14" s="1"/>
  <c r="B97" i="14"/>
  <c r="C97" i="14" s="1"/>
  <c r="B113" i="14"/>
  <c r="C113" i="14" s="1"/>
  <c r="B129" i="14"/>
  <c r="C129" i="14" s="1"/>
  <c r="B145" i="14"/>
  <c r="C145" i="14" s="1"/>
  <c r="B161" i="14"/>
  <c r="C161" i="14" s="1"/>
  <c r="B177" i="14"/>
  <c r="C177" i="14" s="1"/>
  <c r="B193" i="14"/>
  <c r="C193" i="14" s="1"/>
  <c r="B209" i="14"/>
  <c r="C209" i="14" s="1"/>
  <c r="B225" i="14"/>
  <c r="C225" i="14" s="1"/>
  <c r="B241" i="14"/>
  <c r="C241" i="14" s="1"/>
  <c r="B32" i="14"/>
  <c r="C32" i="14" s="1"/>
  <c r="B96" i="14"/>
  <c r="C96" i="14" s="1"/>
  <c r="B160" i="14"/>
  <c r="C160" i="14" s="1"/>
  <c r="B208" i="14"/>
  <c r="C208" i="14" s="1"/>
  <c r="B240" i="14"/>
  <c r="C240" i="14" s="1"/>
  <c r="B33" i="14"/>
  <c r="C33" i="14" s="1"/>
  <c r="B9" i="14"/>
  <c r="C9" i="14" s="1"/>
  <c r="B39" i="14"/>
  <c r="C39" i="14" s="1"/>
  <c r="B69" i="14"/>
  <c r="C69" i="14" s="1"/>
  <c r="B99" i="14"/>
  <c r="C99" i="14" s="1"/>
  <c r="B126" i="14"/>
  <c r="C126" i="14" s="1"/>
  <c r="B151" i="14"/>
  <c r="C151" i="14" s="1"/>
  <c r="B179" i="14"/>
  <c r="C179" i="14" s="1"/>
  <c r="B201" i="14"/>
  <c r="C201" i="14" s="1"/>
  <c r="B229" i="14"/>
  <c r="C229" i="14" s="1"/>
  <c r="B70" i="14"/>
  <c r="C70" i="14" s="1"/>
  <c r="B180" i="14"/>
  <c r="C180" i="14" s="1"/>
  <c r="B102" i="14"/>
  <c r="C102" i="14" s="1"/>
  <c r="B73" i="14"/>
  <c r="C73" i="14" s="1"/>
  <c r="B183" i="14"/>
  <c r="C183" i="14" s="1"/>
  <c r="B134" i="14"/>
  <c r="C134" i="14" s="1"/>
  <c r="B22" i="14"/>
  <c r="C22" i="14" s="1"/>
  <c r="B52" i="14"/>
  <c r="C52" i="14" s="1"/>
  <c r="B82" i="14"/>
  <c r="C82" i="14" s="1"/>
  <c r="B163" i="14"/>
  <c r="C163" i="14" s="1"/>
  <c r="B213" i="14"/>
  <c r="C213" i="14" s="1"/>
  <c r="B83" i="14"/>
  <c r="C83" i="14" s="1"/>
  <c r="B164" i="14"/>
  <c r="C164" i="14" s="1"/>
  <c r="B242" i="14"/>
  <c r="C242" i="14" s="1"/>
  <c r="B24" i="14"/>
  <c r="C24" i="14" s="1"/>
  <c r="B114" i="14"/>
  <c r="C114" i="14" s="1"/>
  <c r="B243" i="14"/>
  <c r="C243" i="14" s="1"/>
  <c r="B115" i="14"/>
  <c r="C115" i="14" s="1"/>
  <c r="B194" i="14"/>
  <c r="C194" i="14" s="1"/>
  <c r="B30" i="14"/>
  <c r="C30" i="14" s="1"/>
  <c r="B86" i="14"/>
  <c r="C86" i="14" s="1"/>
  <c r="B142" i="14"/>
  <c r="C142" i="14" s="1"/>
  <c r="B195" i="14"/>
  <c r="C195" i="14" s="1"/>
  <c r="B57" i="14"/>
  <c r="C57" i="14" s="1"/>
  <c r="B168" i="14"/>
  <c r="C168" i="14" s="1"/>
  <c r="B246" i="14"/>
  <c r="C246" i="14" s="1"/>
  <c r="B169" i="14"/>
  <c r="C169" i="14" s="1"/>
  <c r="B36" i="14"/>
  <c r="C36" i="14" s="1"/>
  <c r="B89" i="14"/>
  <c r="C89" i="14" s="1"/>
  <c r="B148" i="14"/>
  <c r="C148" i="14" s="1"/>
  <c r="B173" i="14"/>
  <c r="C173" i="14" s="1"/>
  <c r="B226" i="14"/>
  <c r="C226" i="14" s="1"/>
  <c r="B14" i="14"/>
  <c r="C14" i="14" s="1"/>
  <c r="B40" i="14"/>
  <c r="C40" i="14" s="1"/>
  <c r="B100" i="14"/>
  <c r="C100" i="14" s="1"/>
  <c r="B130" i="14"/>
  <c r="C130" i="14" s="1"/>
  <c r="B152" i="14"/>
  <c r="C152" i="14" s="1"/>
  <c r="B205" i="14"/>
  <c r="C205" i="14" s="1"/>
  <c r="B230" i="14"/>
  <c r="C230" i="14" s="1"/>
  <c r="B19" i="14"/>
  <c r="C19" i="14" s="1"/>
  <c r="B46" i="14"/>
  <c r="C46" i="14" s="1"/>
  <c r="B72" i="14"/>
  <c r="C72" i="14" s="1"/>
  <c r="B157" i="14"/>
  <c r="C157" i="14" s="1"/>
  <c r="B182" i="14"/>
  <c r="C182" i="14" s="1"/>
  <c r="B210" i="14"/>
  <c r="C210" i="14" s="1"/>
  <c r="B20" i="14"/>
  <c r="C20" i="14" s="1"/>
  <c r="B103" i="14"/>
  <c r="C103" i="14" s="1"/>
  <c r="B158" i="14"/>
  <c r="C158" i="14" s="1"/>
  <c r="B233" i="14"/>
  <c r="C233" i="14" s="1"/>
  <c r="B21" i="14"/>
  <c r="C21" i="14" s="1"/>
  <c r="B104" i="14"/>
  <c r="C104" i="14" s="1"/>
  <c r="B184" i="14"/>
  <c r="C184" i="14" s="1"/>
  <c r="B237" i="14"/>
  <c r="C237" i="14" s="1"/>
  <c r="B18" i="14"/>
  <c r="C18" i="14" s="1"/>
  <c r="B41" i="14"/>
  <c r="C41" i="14" s="1"/>
  <c r="B71" i="14"/>
  <c r="C71" i="14" s="1"/>
  <c r="B101" i="14"/>
  <c r="C101" i="14" s="1"/>
  <c r="B131" i="14"/>
  <c r="C131" i="14" s="1"/>
  <c r="B153" i="14"/>
  <c r="C153" i="14" s="1"/>
  <c r="B181" i="14"/>
  <c r="C181" i="14" s="1"/>
  <c r="B206" i="14"/>
  <c r="C206" i="14" s="1"/>
  <c r="B231" i="14"/>
  <c r="C231" i="14" s="1"/>
  <c r="B132" i="14"/>
  <c r="C132" i="14" s="1"/>
  <c r="B232" i="14"/>
  <c r="C232" i="14" s="1"/>
  <c r="B50" i="14"/>
  <c r="C50" i="14" s="1"/>
  <c r="B133" i="14"/>
  <c r="C133" i="14" s="1"/>
  <c r="B211" i="14"/>
  <c r="C211" i="14" s="1"/>
  <c r="B51" i="14"/>
  <c r="C51" i="14" s="1"/>
  <c r="B162" i="14"/>
  <c r="C162" i="14" s="1"/>
  <c r="B105" i="14"/>
  <c r="C105" i="14" s="1"/>
  <c r="B185" i="14"/>
  <c r="C185" i="14" s="1"/>
  <c r="B238" i="14"/>
  <c r="C238" i="14" s="1"/>
  <c r="B53" i="14"/>
  <c r="C53" i="14" s="1"/>
  <c r="B136" i="14"/>
  <c r="C136" i="14" s="1"/>
  <c r="B189" i="14"/>
  <c r="C189" i="14" s="1"/>
  <c r="B84" i="14"/>
  <c r="C84" i="14" s="1"/>
  <c r="B165" i="14"/>
  <c r="C165" i="14" s="1"/>
  <c r="B25" i="14"/>
  <c r="C25" i="14" s="1"/>
  <c r="B85" i="14"/>
  <c r="C85" i="14" s="1"/>
  <c r="B166" i="14"/>
  <c r="C166" i="14" s="1"/>
  <c r="B244" i="14"/>
  <c r="C244" i="14" s="1"/>
  <c r="B3" i="14"/>
  <c r="C3" i="14" s="1"/>
  <c r="B116" i="14"/>
  <c r="C116" i="14" s="1"/>
  <c r="B217" i="14"/>
  <c r="C217" i="14" s="1"/>
  <c r="B245" i="14"/>
  <c r="C245" i="14" s="1"/>
  <c r="B4" i="14"/>
  <c r="C4" i="14" s="1"/>
  <c r="B117" i="14"/>
  <c r="C117" i="14" s="1"/>
  <c r="B221" i="14"/>
  <c r="C221" i="14" s="1"/>
  <c r="B35" i="14"/>
  <c r="C35" i="14" s="1"/>
  <c r="B88" i="14"/>
  <c r="C88" i="14" s="1"/>
  <c r="B147" i="14"/>
  <c r="C147" i="14" s="1"/>
  <c r="B247" i="14"/>
  <c r="C247" i="14" s="1"/>
  <c r="B66" i="14"/>
  <c r="C66" i="14" s="1"/>
  <c r="B248" i="14"/>
  <c r="C248" i="14" s="1"/>
  <c r="B78" i="14"/>
  <c r="C78" i="14" s="1"/>
  <c r="B212" i="14"/>
  <c r="C212" i="14" s="1"/>
  <c r="B135" i="14"/>
  <c r="C135" i="14" s="1"/>
  <c r="B23" i="14"/>
  <c r="C23" i="14" s="1"/>
  <c r="B110" i="14"/>
  <c r="C110" i="14" s="1"/>
  <c r="B214" i="14"/>
  <c r="C214" i="14" s="1"/>
  <c r="B54" i="14"/>
  <c r="C54" i="14" s="1"/>
  <c r="B137" i="14"/>
  <c r="C137" i="14" s="1"/>
  <c r="B190" i="14"/>
  <c r="C190" i="14" s="1"/>
  <c r="B215" i="14"/>
  <c r="C215" i="14" s="1"/>
  <c r="B55" i="14"/>
  <c r="C55" i="14" s="1"/>
  <c r="B141" i="14"/>
  <c r="C141" i="14" s="1"/>
  <c r="B216" i="14"/>
  <c r="C216" i="14" s="1"/>
  <c r="B56" i="14"/>
  <c r="C56" i="14" s="1"/>
  <c r="B167" i="14"/>
  <c r="C167" i="14" s="1"/>
  <c r="B34" i="14"/>
  <c r="C34" i="14" s="1"/>
  <c r="B87" i="14"/>
  <c r="C87" i="14" s="1"/>
  <c r="B146" i="14"/>
  <c r="C146" i="14" s="1"/>
  <c r="B196" i="14"/>
  <c r="C196" i="14" s="1"/>
  <c r="B5" i="14"/>
  <c r="C5" i="14" s="1"/>
  <c r="B62" i="14"/>
  <c r="C62" i="14" s="1"/>
  <c r="B118" i="14"/>
  <c r="C118" i="14" s="1"/>
  <c r="B197" i="14"/>
  <c r="C197" i="14" s="1"/>
  <c r="B222" i="14"/>
  <c r="C222" i="14" s="1"/>
  <c r="B6" i="14"/>
  <c r="C6" i="14" s="1"/>
  <c r="B119" i="14"/>
  <c r="C119" i="14" s="1"/>
  <c r="B198" i="14"/>
  <c r="C198" i="14" s="1"/>
  <c r="B38" i="14"/>
  <c r="C38" i="14" s="1"/>
  <c r="B8" i="14"/>
  <c r="C8" i="14" s="1"/>
  <c r="B227" i="14"/>
  <c r="C227" i="14" s="1"/>
  <c r="B178" i="14"/>
  <c r="C178" i="14" s="1"/>
  <c r="B67" i="14"/>
  <c r="C67" i="14" s="1"/>
  <c r="B249" i="14"/>
  <c r="C249" i="14" s="1"/>
  <c r="B37" i="14"/>
  <c r="C37" i="14" s="1"/>
  <c r="B228" i="14"/>
  <c r="C228" i="14" s="1"/>
  <c r="B7" i="14"/>
  <c r="C7" i="14" s="1"/>
  <c r="B200" i="14"/>
  <c r="C200" i="14" s="1"/>
  <c r="B199" i="14"/>
  <c r="C199" i="14" s="1"/>
  <c r="B174" i="14"/>
  <c r="C174" i="14" s="1"/>
  <c r="B150" i="14"/>
  <c r="C150" i="14" s="1"/>
  <c r="B149" i="14"/>
  <c r="C149" i="14" s="1"/>
  <c r="B121" i="14"/>
  <c r="C121" i="14" s="1"/>
  <c r="B120" i="14"/>
  <c r="C120" i="14" s="1"/>
  <c r="C7" i="15"/>
  <c r="C4" i="15"/>
  <c r="C3" i="15"/>
  <c r="C6" i="15"/>
  <c r="B11" i="15"/>
  <c r="A2" i="15"/>
  <c r="C9" i="15"/>
  <c r="C10" i="15"/>
  <c r="C11" i="15"/>
  <c r="B4" i="15"/>
  <c r="B7" i="15"/>
  <c r="B5" i="15"/>
  <c r="B6" i="15"/>
  <c r="B8" i="15"/>
  <c r="C5" i="15"/>
  <c r="B10" i="15"/>
  <c r="B3" i="15"/>
  <c r="C2" i="15" l="1"/>
  <c r="B2" i="15"/>
  <c r="J8" i="12" l="1"/>
  <c r="J5" i="12"/>
  <c r="B6" i="9" a="1"/>
  <c r="B6" i="9" s="1"/>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 i="8"/>
  <c r="D3" i="8"/>
  <c r="D4" i="8"/>
  <c r="D5" i="8"/>
  <c r="D6" i="8"/>
  <c r="D7" i="8"/>
  <c r="D8" i="8"/>
  <c r="D21" i="8"/>
  <c r="D38" i="8"/>
  <c r="D39" i="8"/>
  <c r="D40" i="8"/>
  <c r="D50" i="8"/>
  <c r="D55" i="8"/>
  <c r="D66" i="8"/>
  <c r="D67" i="8"/>
  <c r="D68" i="8"/>
  <c r="D69" i="8"/>
  <c r="D70" i="8"/>
  <c r="D99" i="8"/>
  <c r="D100" i="8"/>
  <c r="D101" i="8"/>
  <c r="D102" i="8"/>
  <c r="D103" i="8"/>
  <c r="D104" i="8"/>
  <c r="D113" i="8"/>
  <c r="D114" i="8"/>
  <c r="D115" i="8"/>
  <c r="D116" i="8"/>
  <c r="D136" i="8"/>
  <c r="D145" i="8"/>
  <c r="D146" i="8"/>
  <c r="D147" i="8"/>
  <c r="D148" i="8"/>
  <c r="D161" i="8"/>
  <c r="D163" i="8"/>
  <c r="D164" i="8"/>
  <c r="D165" i="8"/>
  <c r="D166" i="8"/>
  <c r="D193" i="8"/>
  <c r="D195" i="8"/>
  <c r="D196" i="8"/>
  <c r="D197" i="8"/>
  <c r="D198" i="8"/>
  <c r="D199" i="8"/>
  <c r="D200" i="8"/>
  <c r="D209" i="8"/>
  <c r="D210" i="8"/>
  <c r="D211" i="8"/>
  <c r="D231" i="8"/>
  <c r="D232" i="8"/>
  <c r="D241" i="8"/>
  <c r="D242" i="8"/>
  <c r="D243" i="8"/>
  <c r="D244" i="8"/>
  <c r="C7" i="8"/>
  <c r="C9" i="8"/>
  <c r="C10" i="8"/>
  <c r="C11" i="8"/>
  <c r="C26" i="8"/>
  <c r="C39" i="8"/>
  <c r="C41" i="8"/>
  <c r="C42" i="8"/>
  <c r="C43" i="8"/>
  <c r="C44" i="8"/>
  <c r="C45" i="8"/>
  <c r="C46" i="8"/>
  <c r="C55" i="8"/>
  <c r="C56" i="8"/>
  <c r="C76" i="8"/>
  <c r="C77" i="8"/>
  <c r="C78" i="8"/>
  <c r="C87" i="8"/>
  <c r="C88" i="8"/>
  <c r="C89" i="8"/>
  <c r="C90" i="8"/>
  <c r="C103" i="8"/>
  <c r="C105" i="8"/>
  <c r="C106" i="8"/>
  <c r="C121" i="8"/>
  <c r="C122" i="8"/>
  <c r="C135" i="8"/>
  <c r="C137" i="8"/>
  <c r="C138" i="8"/>
  <c r="C139" i="8"/>
  <c r="C140" i="8"/>
  <c r="C141" i="8"/>
  <c r="C142" i="8"/>
  <c r="C151" i="8"/>
  <c r="C171" i="8"/>
  <c r="C172" i="8"/>
  <c r="C173" i="8"/>
  <c r="C174" i="8"/>
  <c r="C183" i="8"/>
  <c r="C184" i="8"/>
  <c r="C185" i="8"/>
  <c r="C186" i="8"/>
  <c r="C199" i="8"/>
  <c r="C201" i="8"/>
  <c r="C216" i="8"/>
  <c r="C217" i="8"/>
  <c r="C218" i="8"/>
  <c r="C231" i="8"/>
  <c r="C233" i="8"/>
  <c r="C234" i="8"/>
  <c r="C235" i="8"/>
  <c r="C236" i="8"/>
  <c r="C237" i="8"/>
  <c r="C238" i="8"/>
  <c r="B2" i="8" a="1"/>
  <c r="D18" i="8" s="1"/>
  <c r="A2" i="8" a="1"/>
  <c r="A2" i="8" s="1"/>
  <c r="C215" i="8" l="1"/>
  <c r="C170" i="8"/>
  <c r="C120" i="8"/>
  <c r="C75" i="8"/>
  <c r="C25" i="8"/>
  <c r="D230" i="8"/>
  <c r="D180" i="8"/>
  <c r="D135" i="8"/>
  <c r="D88" i="8"/>
  <c r="D37" i="8"/>
  <c r="C206" i="8"/>
  <c r="C74" i="8"/>
  <c r="D134" i="8"/>
  <c r="D36" i="8"/>
  <c r="C250" i="8"/>
  <c r="C205" i="8"/>
  <c r="C167" i="8"/>
  <c r="C110" i="8"/>
  <c r="C73" i="8"/>
  <c r="C23" i="8"/>
  <c r="D228" i="8"/>
  <c r="D178" i="8"/>
  <c r="D133" i="8"/>
  <c r="D82" i="8"/>
  <c r="D35" i="8"/>
  <c r="C169" i="8"/>
  <c r="C119" i="8"/>
  <c r="C24" i="8"/>
  <c r="D179" i="8"/>
  <c r="D83" i="8"/>
  <c r="C249" i="8"/>
  <c r="C204" i="8"/>
  <c r="C109" i="8"/>
  <c r="C14" i="8"/>
  <c r="D227" i="8"/>
  <c r="D177" i="8"/>
  <c r="D132" i="8"/>
  <c r="D34" i="8"/>
  <c r="C248" i="8"/>
  <c r="C203" i="8"/>
  <c r="C153" i="8"/>
  <c r="C108" i="8"/>
  <c r="C58" i="8"/>
  <c r="C13" i="8"/>
  <c r="D225" i="8"/>
  <c r="D168" i="8"/>
  <c r="D131" i="8"/>
  <c r="D72" i="8"/>
  <c r="D24" i="8"/>
  <c r="D229" i="8"/>
  <c r="C154" i="8"/>
  <c r="C71" i="8"/>
  <c r="D81" i="8"/>
  <c r="C247" i="8"/>
  <c r="C202" i="8"/>
  <c r="C152" i="8"/>
  <c r="C107" i="8"/>
  <c r="C57" i="8"/>
  <c r="C12" i="8"/>
  <c r="D212" i="8"/>
  <c r="D167" i="8"/>
  <c r="D129" i="8"/>
  <c r="D71" i="8"/>
  <c r="D23" i="8"/>
  <c r="C232" i="8"/>
  <c r="C200" i="8"/>
  <c r="C168" i="8"/>
  <c r="C136" i="8"/>
  <c r="C104" i="8"/>
  <c r="C72" i="8"/>
  <c r="C40" i="8"/>
  <c r="C8" i="8"/>
  <c r="D226" i="8"/>
  <c r="D194" i="8"/>
  <c r="D162" i="8"/>
  <c r="D130" i="8"/>
  <c r="D98" i="8"/>
  <c r="D56" i="8"/>
  <c r="D22" i="8"/>
  <c r="C221" i="8"/>
  <c r="C157" i="8"/>
  <c r="C125" i="8"/>
  <c r="C93" i="8"/>
  <c r="C61" i="8"/>
  <c r="C29" i="8"/>
  <c r="D247" i="8"/>
  <c r="D215" i="8"/>
  <c r="D183" i="8"/>
  <c r="D151" i="8"/>
  <c r="D119" i="8"/>
  <c r="D86" i="8"/>
  <c r="D53" i="8"/>
  <c r="D19" i="8"/>
  <c r="C222" i="8"/>
  <c r="C190" i="8"/>
  <c r="C158" i="8"/>
  <c r="C126" i="8"/>
  <c r="C94" i="8"/>
  <c r="C62" i="8"/>
  <c r="C30" i="8"/>
  <c r="D248" i="8"/>
  <c r="D216" i="8"/>
  <c r="D184" i="8"/>
  <c r="D152" i="8"/>
  <c r="D120" i="8"/>
  <c r="D87" i="8"/>
  <c r="D54" i="8"/>
  <c r="D20" i="8"/>
  <c r="C189" i="8"/>
  <c r="C220" i="8"/>
  <c r="C188" i="8"/>
  <c r="C156" i="8"/>
  <c r="C124" i="8"/>
  <c r="C92" i="8"/>
  <c r="C60" i="8"/>
  <c r="C28" i="8"/>
  <c r="D246" i="8"/>
  <c r="D214" i="8"/>
  <c r="D182" i="8"/>
  <c r="D150" i="8"/>
  <c r="D118" i="8"/>
  <c r="D85" i="8"/>
  <c r="D52" i="8"/>
  <c r="B2" i="8"/>
  <c r="D9" i="8"/>
  <c r="D25" i="8"/>
  <c r="D41" i="8"/>
  <c r="D57" i="8"/>
  <c r="D73" i="8"/>
  <c r="D89" i="8"/>
  <c r="D105" i="8"/>
  <c r="D121" i="8"/>
  <c r="D137" i="8"/>
  <c r="D153" i="8"/>
  <c r="D169" i="8"/>
  <c r="D185" i="8"/>
  <c r="D201" i="8"/>
  <c r="D217" i="8"/>
  <c r="D233" i="8"/>
  <c r="D249" i="8"/>
  <c r="C15" i="8"/>
  <c r="C31" i="8"/>
  <c r="C47" i="8"/>
  <c r="C63" i="8"/>
  <c r="C79" i="8"/>
  <c r="C95" i="8"/>
  <c r="C111" i="8"/>
  <c r="C127" i="8"/>
  <c r="C143" i="8"/>
  <c r="C159" i="8"/>
  <c r="C175" i="8"/>
  <c r="C191" i="8"/>
  <c r="C207" i="8"/>
  <c r="C223" i="8"/>
  <c r="C239" i="8"/>
  <c r="D13" i="8"/>
  <c r="D29" i="8"/>
  <c r="D45" i="8"/>
  <c r="D61" i="8"/>
  <c r="D77" i="8"/>
  <c r="D93" i="8"/>
  <c r="D109" i="8"/>
  <c r="D125" i="8"/>
  <c r="D141" i="8"/>
  <c r="D157" i="8"/>
  <c r="D173" i="8"/>
  <c r="D189" i="8"/>
  <c r="D205" i="8"/>
  <c r="D237" i="8"/>
  <c r="C3" i="8"/>
  <c r="C19" i="8"/>
  <c r="C67" i="8"/>
  <c r="C83" i="8"/>
  <c r="C99" i="8"/>
  <c r="C115" i="8"/>
  <c r="C131" i="8"/>
  <c r="C147" i="8"/>
  <c r="C163" i="8"/>
  <c r="C195" i="8"/>
  <c r="C243" i="8"/>
  <c r="C148" i="8"/>
  <c r="D31" i="8"/>
  <c r="D63" i="8"/>
  <c r="D95" i="8"/>
  <c r="D127" i="8"/>
  <c r="D159" i="8"/>
  <c r="D191" i="8"/>
  <c r="D223" i="8"/>
  <c r="C5" i="8"/>
  <c r="C69" i="8"/>
  <c r="C117" i="8"/>
  <c r="C149" i="8"/>
  <c r="C181" i="8"/>
  <c r="C245" i="8"/>
  <c r="D32" i="8"/>
  <c r="D64" i="8"/>
  <c r="D96" i="8"/>
  <c r="D128" i="8"/>
  <c r="D160" i="8"/>
  <c r="D192" i="8"/>
  <c r="D224" i="8"/>
  <c r="C6" i="8"/>
  <c r="C38" i="8"/>
  <c r="C70" i="8"/>
  <c r="C102" i="8"/>
  <c r="C166" i="8"/>
  <c r="C214" i="8"/>
  <c r="C246" i="8"/>
  <c r="D49" i="8"/>
  <c r="D10" i="8"/>
  <c r="D26" i="8"/>
  <c r="D42" i="8"/>
  <c r="D58" i="8"/>
  <c r="D74" i="8"/>
  <c r="D90" i="8"/>
  <c r="D106" i="8"/>
  <c r="D122" i="8"/>
  <c r="D138" i="8"/>
  <c r="D154" i="8"/>
  <c r="D170" i="8"/>
  <c r="D186" i="8"/>
  <c r="D202" i="8"/>
  <c r="D218" i="8"/>
  <c r="D234" i="8"/>
  <c r="D250" i="8"/>
  <c r="C16" i="8"/>
  <c r="C32" i="8"/>
  <c r="C48" i="8"/>
  <c r="C64" i="8"/>
  <c r="C80" i="8"/>
  <c r="C96" i="8"/>
  <c r="C112" i="8"/>
  <c r="C128" i="8"/>
  <c r="C144" i="8"/>
  <c r="C160" i="8"/>
  <c r="C176" i="8"/>
  <c r="C192" i="8"/>
  <c r="C208" i="8"/>
  <c r="C224" i="8"/>
  <c r="C240" i="8"/>
  <c r="C51" i="8"/>
  <c r="C211" i="8"/>
  <c r="C101" i="8"/>
  <c r="C150" i="8"/>
  <c r="D11" i="8"/>
  <c r="D27" i="8"/>
  <c r="D43" i="8"/>
  <c r="D59" i="8"/>
  <c r="D75" i="8"/>
  <c r="D91" i="8"/>
  <c r="D107" i="8"/>
  <c r="D123" i="8"/>
  <c r="D139" i="8"/>
  <c r="D155" i="8"/>
  <c r="D171" i="8"/>
  <c r="D187" i="8"/>
  <c r="D203" i="8"/>
  <c r="D219" i="8"/>
  <c r="D235" i="8"/>
  <c r="D251" i="8"/>
  <c r="C17" i="8"/>
  <c r="C33" i="8"/>
  <c r="C49" i="8"/>
  <c r="C65" i="8"/>
  <c r="C81" i="8"/>
  <c r="C97" i="8"/>
  <c r="C113" i="8"/>
  <c r="C129" i="8"/>
  <c r="C145" i="8"/>
  <c r="C161" i="8"/>
  <c r="C177" i="8"/>
  <c r="C193" i="8"/>
  <c r="C209" i="8"/>
  <c r="C225" i="8"/>
  <c r="C241" i="8"/>
  <c r="C35" i="8"/>
  <c r="C227" i="8"/>
  <c r="C37" i="8"/>
  <c r="C197" i="8"/>
  <c r="C182" i="8"/>
  <c r="D12" i="8"/>
  <c r="D28" i="8"/>
  <c r="D44" i="8"/>
  <c r="D60" i="8"/>
  <c r="D76" i="8"/>
  <c r="D92" i="8"/>
  <c r="D108" i="8"/>
  <c r="D124" i="8"/>
  <c r="D140" i="8"/>
  <c r="D156" i="8"/>
  <c r="D172" i="8"/>
  <c r="D188" i="8"/>
  <c r="D204" i="8"/>
  <c r="D220" i="8"/>
  <c r="D236" i="8"/>
  <c r="C18" i="8"/>
  <c r="C34" i="8"/>
  <c r="C50" i="8"/>
  <c r="C66" i="8"/>
  <c r="C82" i="8"/>
  <c r="C98" i="8"/>
  <c r="C114" i="8"/>
  <c r="C130" i="8"/>
  <c r="C146" i="8"/>
  <c r="C162" i="8"/>
  <c r="C178" i="8"/>
  <c r="C194" i="8"/>
  <c r="C210" i="8"/>
  <c r="C226" i="8"/>
  <c r="C242" i="8"/>
  <c r="D221" i="8"/>
  <c r="C179" i="8"/>
  <c r="C53" i="8"/>
  <c r="C213" i="8"/>
  <c r="C134" i="8"/>
  <c r="D14" i="8"/>
  <c r="D30" i="8"/>
  <c r="D46" i="8"/>
  <c r="D62" i="8"/>
  <c r="D78" i="8"/>
  <c r="D94" i="8"/>
  <c r="D110" i="8"/>
  <c r="D126" i="8"/>
  <c r="D142" i="8"/>
  <c r="D158" i="8"/>
  <c r="D174" i="8"/>
  <c r="D190" i="8"/>
  <c r="D206" i="8"/>
  <c r="D222" i="8"/>
  <c r="D238" i="8"/>
  <c r="C4" i="8"/>
  <c r="C20" i="8"/>
  <c r="C36" i="8"/>
  <c r="C52" i="8"/>
  <c r="C68" i="8"/>
  <c r="C84" i="8"/>
  <c r="C100" i="8"/>
  <c r="C116" i="8"/>
  <c r="C132" i="8"/>
  <c r="C164" i="8"/>
  <c r="C180" i="8"/>
  <c r="C196" i="8"/>
  <c r="C212" i="8"/>
  <c r="C228" i="8"/>
  <c r="C244" i="8"/>
  <c r="D15" i="8"/>
  <c r="D47" i="8"/>
  <c r="D79" i="8"/>
  <c r="D111" i="8"/>
  <c r="D143" i="8"/>
  <c r="D175" i="8"/>
  <c r="D207" i="8"/>
  <c r="D239" i="8"/>
  <c r="C21" i="8"/>
  <c r="C85" i="8"/>
  <c r="C133" i="8"/>
  <c r="C165" i="8"/>
  <c r="C229" i="8"/>
  <c r="D16" i="8"/>
  <c r="D48" i="8"/>
  <c r="D80" i="8"/>
  <c r="D112" i="8"/>
  <c r="D144" i="8"/>
  <c r="D176" i="8"/>
  <c r="D208" i="8"/>
  <c r="D240" i="8"/>
  <c r="C22" i="8"/>
  <c r="C54" i="8"/>
  <c r="C86" i="8"/>
  <c r="C118" i="8"/>
  <c r="C198" i="8"/>
  <c r="C230" i="8"/>
  <c r="D33" i="8"/>
  <c r="D65" i="8"/>
  <c r="D97" i="8"/>
  <c r="C251" i="8"/>
  <c r="C219" i="8"/>
  <c r="C187" i="8"/>
  <c r="C155" i="8"/>
  <c r="C123" i="8"/>
  <c r="C91" i="8"/>
  <c r="C59" i="8"/>
  <c r="C27" i="8"/>
  <c r="D245" i="8"/>
  <c r="D213" i="8"/>
  <c r="D181" i="8"/>
  <c r="D149" i="8"/>
  <c r="D117" i="8"/>
  <c r="D84" i="8"/>
  <c r="D51" i="8"/>
  <c r="D17" i="8"/>
  <c r="D2" i="8" l="1"/>
  <c r="C2"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<sst xmlns="http://schemas.openxmlformats.org/spreadsheetml/2006/main" count="2904" uniqueCount="461">
  <si>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</si>
  <si>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</si>
  <si>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</si>
  <si>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</si>
  <si>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</si>
  <si>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</si>
  <si>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</si>
  <si>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</si>
  <si>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</si>
  <si>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</si>
  <si>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</si>
  <si>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</si>
  <si>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</si>
  <si>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</si>
  <si>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</si>
  <si>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</si>
  <si>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</si>
  <si>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</si>
  <si>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</si>
  <si>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</si>
  <si>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</si>
  <si>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</si>
  <si>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</si>
  <si>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</si>
  <si>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</si>
  <si>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</si>
  <si>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</si>
  <si>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</si>
  <si>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</si>
  <si>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</si>
  <si>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</si>
  <si>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</si>
  <si>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</si>
  <si>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</si>
  <si>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</si>
  <si>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</si>
  <si>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</si>
  <si>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</si>
  <si>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</si>
  <si>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</si>
  <si>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</si>
  <si>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</si>
  <si>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</si>
  <si>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</si>
  <si>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</si>
  <si>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</si>
  <si>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</si>
  <si>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</si>
  <si>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</si>
  <si>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</si>
  <si>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</si>
  <si>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</si>
  <si>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</si>
  <si>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</si>
  <si>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</si>
  <si>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</si>
  <si>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</si>
  <si>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</si>
  <si>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</si>
  <si>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</si>
  <si>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</si>
  <si>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</si>
  <si>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</si>
  <si>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</si>
  <si>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</si>
  <si>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</si>
  <si>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</si>
  <si>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</si>
  <si>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</si>
  <si>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</si>
  <si>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</si>
  <si>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</si>
  <si>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</si>
  <si>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</si>
  <si>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</si>
  <si>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</si>
  <si>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</si>
  <si>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</si>
  <si>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</si>
  <si>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</si>
  <si>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</si>
  <si>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</si>
  <si>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</si>
  <si>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</si>
  <si>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</si>
  <si>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</si>
  <si>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</si>
  <si>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</si>
  <si>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</si>
  <si>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</si>
  <si>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</si>
  <si>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</si>
  <si>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</si>
  <si>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</si>
  <si>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</si>
  <si>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</si>
  <si>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</si>
  <si>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</si>
  <si>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</si>
  <si>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</si>
  <si>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</si>
  <si>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</si>
  <si>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</si>
  <si>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</si>
  <si>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</si>
  <si>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</si>
  <si>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</si>
  <si>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</si>
  <si>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</si>
  <si>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</si>
  <si>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</si>
  <si>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</si>
  <si>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</si>
  <si>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</si>
  <si>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</si>
  <si>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</si>
  <si>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</si>
  <si>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</si>
  <si>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</si>
  <si>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</si>
  <si>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</si>
  <si>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</si>
  <si>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</si>
  <si>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</si>
  <si>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</si>
  <si>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</si>
  <si>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</si>
  <si>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</si>
  <si>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</si>
  <si>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</si>
  <si>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</si>
  <si>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</si>
  <si>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</si>
  <si>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</si>
  <si>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</si>
  <si>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</si>
  <si>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</si>
  <si>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</si>
  <si>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</si>
  <si>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</si>
  <si>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</si>
  <si>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</si>
  <si>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</si>
  <si>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</si>
  <si>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</si>
  <si>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</si>
  <si>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</si>
  <si>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</si>
  <si>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</si>
  <si>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</si>
  <si>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</si>
  <si>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</si>
  <si>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</si>
  <si>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</si>
  <si>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</si>
  <si>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</si>
  <si>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</si>
  <si>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</si>
  <si>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</si>
  <si>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</si>
  <si>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</si>
  <si>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</si>
  <si>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</si>
  <si>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</si>
  <si>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</si>
  <si>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</si>
  <si>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</si>
  <si>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</si>
  <si>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</si>
  <si>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</si>
  <si>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</si>
  <si>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</si>
  <si>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</si>
  <si>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</si>
  <si>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</si>
  <si>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</si>
  <si>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</si>
  <si>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</si>
  <si>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</si>
  <si>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</si>
  <si>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</si>
  <si>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</si>
  <si>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</si>
  <si>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</si>
  <si>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</si>
  <si>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</si>
  <si>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</si>
  <si>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</si>
  <si>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</si>
  <si>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</si>
  <si>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</si>
  <si>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</si>
  <si>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</si>
  <si>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</si>
  <si>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</si>
  <si>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</si>
  <si>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</si>
  <si>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</si>
  <si>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</si>
  <si>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</si>
  <si>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</si>
  <si>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</si>
  <si>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</si>
  <si>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</si>
  <si>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</si>
  <si>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</si>
  <si>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</si>
  <si>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</si>
  <si>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</si>
  <si>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</si>
  <si>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</si>
  <si>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</si>
  <si>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</si>
  <si>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</si>
  <si>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</si>
  <si>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</si>
  <si>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</si>
  <si>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</si>
  <si>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</si>
  <si>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</si>
  <si>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</si>
  <si>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</si>
  <si>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</si>
  <si>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</si>
  <si>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</si>
  <si>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</si>
  <si>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</si>
  <si>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</si>
  <si>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</si>
  <si>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</si>
  <si>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</si>
  <si>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</si>
  <si>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</si>
  <si>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</si>
  <si>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</si>
  <si>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</si>
  <si>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</si>
  <si>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</si>
  <si>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</si>
  <si>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</si>
  <si>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</si>
  <si>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</si>
  <si>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</si>
  <si>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</si>
  <si>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</si>
  <si>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</si>
  <si>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</si>
  <si>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</si>
  <si>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</si>
  <si>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</si>
  <si>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</si>
  <si>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</si>
  <si>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</si>
  <si>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</si>
  <si>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</si>
  <si>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</si>
  <si>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</si>
  <si>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</si>
  <si>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</si>
  <si>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</si>
  <si>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</si>
  <si>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</si>
  <si>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</si>
  <si>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</si>
  <si>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</si>
  <si>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</si>
  <si>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</si>
  <si>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</si>
  <si>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</si>
  <si>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</si>
  <si>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</si>
  <si>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</si>
  <si>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</si>
  <si>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</si>
  <si>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</si>
  <si>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</si>
  <si>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</si>
  <si>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</si>
  <si>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</si>
  <si>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</si>
  <si>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</si>
  <si>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</si>
  <si>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</si>
  <si>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</si>
  <si>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</si>
  <si>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</si>
  <si>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</si>
  <si>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</si>
  <si>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</si>
  <si>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</si>
  <si>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</si>
  <si>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</si>
  <si>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</si>
  <si>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</si>
  <si>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</si>
  <si>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</si>
  <si>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</si>
  <si>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</si>
  <si>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</si>
  <si>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</si>
  <si>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</si>
  <si>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</si>
  <si>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</si>
  <si>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</si>
  <si>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</si>
  <si>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</si>
  <si>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</si>
  <si>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</si>
  <si>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</si>
  <si>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</si>
  <si>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</si>
  <si>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</si>
  <si>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</si>
  <si>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</si>
  <si>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</si>
  <si>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</si>
  <si>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</si>
  <si>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</si>
  <si>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</si>
  <si>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</si>
  <si>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</si>
  <si>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</si>
  <si>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</si>
  <si>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</si>
  <si>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</si>
  <si>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</si>
  <si>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</si>
  <si>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</si>
  <si>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</si>
  <si>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</si>
  <si>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</si>
  <si>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</si>
  <si>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</si>
  <si>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</si>
  <si>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</si>
  <si>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</si>
  <si>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</si>
  <si>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</si>
  <si>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</si>
  <si>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</si>
  <si>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</si>
  <si>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</si>
  <si>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</si>
  <si>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</si>
  <si>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</si>
  <si>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</si>
  <si>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</si>
  <si>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</si>
  <si>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</si>
  <si>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</si>
  <si>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</si>
  <si>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</si>
  <si>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</si>
  <si>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</si>
  <si>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</si>
  <si>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</si>
  <si>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</si>
  <si>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</si>
  <si>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</si>
  <si>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</si>
  <si>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</si>
  <si>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</si>
  <si>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</si>
  <si>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</si>
  <si>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</si>
  <si>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</si>
  <si>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</si>
  <si>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</si>
  <si>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</si>
  <si>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</si>
  <si>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</si>
  <si>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</si>
  <si>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</si>
  <si>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</si>
  <si>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</si>
  <si>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</si>
  <si>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</si>
  <si>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</si>
  <si>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</si>
  <si>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</si>
  <si>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</si>
  <si>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</si>
  <si>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</si>
  <si>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</si>
  <si>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</si>
  <si>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</si>
  <si>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</si>
  <si>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</si>
  <si>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</si>
  <si>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</si>
  <si>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</si>
  <si>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</si>
  <si>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</si>
  <si>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</si>
  <si>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</si>
  <si>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</si>
  <si>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</si>
  <si>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</si>
  <si>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</si>
  <si>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Days_Since_Transaction</t>
  </si>
  <si>
    <t>Month_End</t>
  </si>
  <si>
    <t>Current_Time</t>
  </si>
  <si>
    <t>finding customers through region using filter</t>
  </si>
  <si>
    <t>highlighted one is formula</t>
  </si>
  <si>
    <t>QTY</t>
  </si>
  <si>
    <t>PRODUCT</t>
  </si>
  <si>
    <t>MIC</t>
  </si>
  <si>
    <t>PRICE</t>
  </si>
  <si>
    <t>REVNUE</t>
  </si>
  <si>
    <t>WHAT IF USING GOAL SEEK</t>
  </si>
  <si>
    <t>EX</t>
  </si>
  <si>
    <t>I WANT SALES 20 LAKH</t>
  </si>
  <si>
    <t>Standard Error</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</si>
  <si>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</si>
  <si>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</si>
  <si>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</si>
  <si>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</si>
  <si>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</si>
  <si>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</si>
  <si>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</si>
  <si>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</si>
  <si>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</si>
  <si>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</si>
  <si>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</si>
  <si>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</si>
  <si>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</si>
  <si>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</si>
  <si>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</si>
  <si>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</si>
  <si>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</si>
  <si>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</si>
  <si>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</si>
  <si>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</si>
  <si>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</si>
  <si>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</si>
  <si>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</si>
  <si>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LINEAR REGRESSION</t>
  </si>
  <si>
    <t>UNIQUE_CUSTOMERS</t>
  </si>
  <si>
    <t>total_spend</t>
  </si>
  <si>
    <t>typee</t>
  </si>
  <si>
    <t>Grand Total</t>
  </si>
  <si>
    <t>unique_product</t>
  </si>
  <si>
    <t>count_purchases</t>
  </si>
  <si>
    <t>total _sales_prodct</t>
  </si>
  <si>
    <t>customer_name</t>
  </si>
  <si>
    <t>A</t>
  </si>
  <si>
    <t>B</t>
  </si>
  <si>
    <t>yes/no</t>
  </si>
  <si>
    <t>result</t>
  </si>
  <si>
    <t>rahul sharma</t>
  </si>
  <si>
    <t>preeti sharma</t>
  </si>
  <si>
    <t>james mikaelson</t>
  </si>
  <si>
    <t>mike ross</t>
  </si>
  <si>
    <t>stefan salvatore</t>
  </si>
  <si>
    <t>Sum of Total_Amount</t>
  </si>
  <si>
    <t>Central Total</t>
  </si>
  <si>
    <t>East Total</t>
  </si>
  <si>
    <t>North Total</t>
  </si>
  <si>
    <t>South Total</t>
  </si>
  <si>
    <t>West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</si>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</sst>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1" formatCode="&quot;₹&quot;\ #,##0"/>
    <numFmt numFmtId="177" formatCode="0.0"/>
  </numFmts>
  <fonts count="11" x14ac:knownFonts="1">
    <font>
      <sz val="11"/>
      <color theme="1"/>
      <name val="Calibri"/>
      <scheme val="minor"/>
    </font>
    <font>
      <sz val="11"/>
      <color theme="1"/>
      <name val="Calibri"/>
      <family val="2"/>
      <scheme val="minor"/>
    </font>
    <font>
      <sz val="11"/>
      <color theme="1"/>
      <name val="Calibri"/>
      <scheme val="minor"/>
    </font>
    <font>
      <b/>
      <sz val="11"/>
      <color theme="1"/>
      <name val="Calibri"/>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5"/>
        <bgColor theme="5"/>
      </patternFill>
    </fill>
    <fill>
      <patternFill patternType="solid">
        <fgColor theme="5" tint="0.79998168889431442"/>
        <bgColor theme="5" tint="0.79998168889431442"/>
      </patternFill>
    </fill>
    <fill>
      <patternFill patternType="solid">
        <fgColor theme="7" tint="0.39997558519241921"/>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6">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7" fillId="5" borderId="1" applyNumberFormat="0" applyAlignment="0" applyProtection="0"/>
    <xf numFmtId="0" fontId="1" fillId="0" borderId="0"/>
  </cellStyleXfs>
  <cellXfs count="51">
    <xf numFmtId="0" fontId="0" fillId="0" borderId="0" xfId="0"/>
    <xf numFmtId="0" fontId="3" fillId="0" borderId="0" xfId="0" applyFont="1"/>
    <xf numFmtId="0" fontId="0" fillId="0" borderId="2" xfId="0" applyBorder="1"/>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2" fillId="0" borderId="6" xfId="0" applyFont="1" applyBorder="1" applyAlignment="1">
      <alignment horizontal="center"/>
    </xf>
    <xf numFmtId="164" fontId="2" fillId="0" borderId="2" xfId="0" applyNumberFormat="1"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164" fontId="2" fillId="0" borderId="9" xfId="0" applyNumberFormat="1"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0" borderId="2" xfId="0" applyBorder="1" applyAlignment="1">
      <alignment horizontal="center"/>
    </xf>
    <xf numFmtId="14" fontId="2" fillId="0" borderId="2" xfId="0" applyNumberFormat="1" applyFont="1" applyBorder="1" applyAlignment="1">
      <alignment horizontal="center"/>
    </xf>
    <xf numFmtId="14" fontId="0" fillId="0" borderId="2" xfId="0" applyNumberFormat="1" applyBorder="1" applyAlignment="1">
      <alignment horizontal="center"/>
    </xf>
    <xf numFmtId="14" fontId="0" fillId="0" borderId="0" xfId="0" applyNumberFormat="1"/>
    <xf numFmtId="2" fontId="0" fillId="0" borderId="0" xfId="0" applyNumberFormat="1"/>
    <xf numFmtId="2" fontId="0" fillId="0" borderId="2" xfId="0" applyNumberFormat="1" applyBorder="1" applyAlignment="1">
      <alignment horizontal="center"/>
    </xf>
    <xf numFmtId="22" fontId="0" fillId="0" borderId="2" xfId="0" applyNumberFormat="1" applyBorder="1" applyAlignment="1">
      <alignment horizontal="center"/>
    </xf>
    <xf numFmtId="0" fontId="0" fillId="8" borderId="2" xfId="0" applyFill="1" applyBorder="1" applyAlignment="1">
      <alignment horizontal="center"/>
    </xf>
    <xf numFmtId="14" fontId="0" fillId="8" borderId="2" xfId="0" applyNumberFormat="1" applyFill="1" applyBorder="1" applyAlignment="1">
      <alignment horizontal="center"/>
    </xf>
    <xf numFmtId="2" fontId="0" fillId="8" borderId="2" xfId="0" applyNumberFormat="1" applyFill="1" applyBorder="1" applyAlignment="1">
      <alignment horizontal="center"/>
    </xf>
    <xf numFmtId="0" fontId="0" fillId="8" borderId="0" xfId="0" applyFill="1"/>
    <xf numFmtId="0" fontId="1" fillId="0" borderId="0" xfId="0" applyFont="1"/>
    <xf numFmtId="0" fontId="7" fillId="5" borderId="1" xfId="4"/>
    <xf numFmtId="0" fontId="8" fillId="6" borderId="2" xfId="0" applyFont="1" applyFill="1" applyBorder="1" applyAlignment="1">
      <alignment horizontal="center"/>
    </xf>
    <xf numFmtId="0" fontId="6" fillId="4" borderId="0" xfId="3"/>
    <xf numFmtId="0" fontId="3" fillId="8" borderId="2" xfId="0" applyFont="1" applyFill="1" applyBorder="1" applyAlignment="1">
      <alignment horizontal="center"/>
    </xf>
    <xf numFmtId="0" fontId="2" fillId="8" borderId="2" xfId="0" applyFont="1" applyFill="1" applyBorder="1" applyAlignment="1">
      <alignment horizontal="center"/>
    </xf>
    <xf numFmtId="0" fontId="0" fillId="8" borderId="2" xfId="0" applyFill="1" applyBorder="1"/>
    <xf numFmtId="0" fontId="1" fillId="7" borderId="2" xfId="0" applyFont="1" applyFill="1" applyBorder="1" applyAlignment="1">
      <alignment horizontal="center"/>
    </xf>
    <xf numFmtId="0" fontId="1" fillId="0" borderId="2" xfId="0" applyFont="1" applyBorder="1" applyAlignment="1">
      <alignment horizontal="center"/>
    </xf>
    <xf numFmtId="0" fontId="6" fillId="4" borderId="2" xfId="3" applyBorder="1"/>
    <xf numFmtId="171" fontId="6" fillId="4" borderId="2" xfId="3" applyNumberFormat="1" applyBorder="1"/>
    <xf numFmtId="177" fontId="6" fillId="4" borderId="2" xfId="3" applyNumberFormat="1" applyBorder="1"/>
    <xf numFmtId="0" fontId="4" fillId="2" borderId="0" xfId="1" applyBorder="1" applyAlignment="1">
      <alignment horizontal="center"/>
    </xf>
    <xf numFmtId="0" fontId="7" fillId="5" borderId="1" xfId="4" applyAlignment="1">
      <alignment horizontal="centerContinuous"/>
    </xf>
    <xf numFmtId="0" fontId="7" fillId="5" borderId="1" xfId="4" applyAlignment="1"/>
    <xf numFmtId="0" fontId="7" fillId="5" borderId="1" xfId="4" applyAlignment="1">
      <alignment horizontal="center"/>
    </xf>
    <xf numFmtId="0" fontId="9" fillId="0" borderId="2" xfId="0" applyFont="1" applyBorder="1"/>
    <xf numFmtId="0" fontId="0" fillId="0" borderId="0" xfId="0" applyNumberFormat="1"/>
    <xf numFmtId="0" fontId="4" fillId="2" borderId="2" xfId="1" applyBorder="1" applyAlignment="1">
      <alignment horizontal="center"/>
    </xf>
    <xf numFmtId="0" fontId="4" fillId="2" borderId="2" xfId="1" applyNumberFormat="1" applyBorder="1" applyAlignment="1">
      <alignment horizontal="center"/>
    </xf>
    <xf numFmtId="0" fontId="10" fillId="0" borderId="2" xfId="0" applyFont="1" applyBorder="1" applyAlignment="1">
      <alignment vertical="center" wrapText="1"/>
    </xf>
    <xf numFmtId="0" fontId="9" fillId="0" borderId="0" xfId="0" applyFont="1" applyAlignment="1"/>
    <xf numFmtId="0" fontId="5" fillId="3" borderId="2" xfId="2" applyBorder="1"/>
    <xf numFmtId="0" fontId="0" fillId="0" borderId="2" xfId="0" pivotButton="1" applyBorder="1"/>
    <xf numFmtId="0" fontId="0" fillId="0" borderId="2" xfId="0" applyNumberFormat="1" applyBorder="1"/>
    <xf numFmtId="0" fontId="1" fillId="0" borderId="0" xfId="5"/>
  </cellXfs>
  <cellStyles count="6">
    <cellStyle name="Bad" xfId="2" builtinId="27"/>
    <cellStyle name="Calculation" xfId="4" builtinId="22"/>
    <cellStyle name="Good" xfId="1" builtinId="26"/>
    <cellStyle name="Neutral" xfId="3" builtinId="28"/>
    <cellStyle name="Normal" xfId="0" builtinId="0"/>
    <cellStyle name="Normal 2" xfId="5" xr:uid="{03C0BD53-496D-4027-BB59-005DD26BD223}"/>
  </cellStyles>
  <dxfs count="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yyyy\-mm\-dd"/>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tables!PivotTable2</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tables'!$C$2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tables'!$B$3:$B$7</c:f>
              <c:strCache>
                <c:ptCount val="4"/>
                <c:pt idx="0">
                  <c:v>Central</c:v>
                </c:pt>
                <c:pt idx="1">
                  <c:v>East</c:v>
                </c:pt>
                <c:pt idx="2">
                  <c:v>North</c:v>
                </c:pt>
                <c:pt idx="3">
                  <c:v>West</c:v>
                </c:pt>
              </c:strCache>
            </c:strRef>
          </c:cat>
          <c:val>
            <c:numRef>
              <c:f>'pivot tables'!$C$3:$C$7</c:f>
              <c:numCache>
                <c:formatCode>General</c:formatCode>
                <c:ptCount val="4"/>
                <c:pt idx="0">
                  <c:v>41288.340000000004</c:v>
                </c:pt>
                <c:pt idx="1">
                  <c:v>59288.389999999992</c:v>
                </c:pt>
                <c:pt idx="2">
                  <c:v>50808.31</c:v>
                </c:pt>
                <c:pt idx="3">
                  <c:v>41408.680000000008</c:v>
                </c:pt>
              </c:numCache>
            </c:numRef>
          </c:val>
          <c:extLst>
            <c:ext xmlns:c16="http://schemas.microsoft.com/office/drawing/2014/chart" uri="{C3380CC4-5D6E-409C-BE32-E72D297353CC}">
              <c16:uniqueId val="{00000000-66A9-4EA8-9758-D318F69B9D5E}"/>
            </c:ext>
          </c:extLst>
        </c:ser>
        <c:dLbls>
          <c:showLegendKey val="0"/>
          <c:showVal val="1"/>
          <c:showCatName val="0"/>
          <c:showSerName val="0"/>
          <c:showPercent val="0"/>
          <c:showBubbleSize val="0"/>
        </c:dLbls>
        <c:gapWidth val="150"/>
        <c:shape val="box"/>
        <c:axId val="46270399"/>
        <c:axId val="46270879"/>
        <c:axId val="0"/>
      </c:bar3DChart>
      <c:catAx>
        <c:axId val="46270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270879"/>
        <c:crosses val="autoZero"/>
        <c:auto val="1"/>
        <c:lblAlgn val="ctr"/>
        <c:lblOffset val="100"/>
        <c:noMultiLvlLbl val="0"/>
      </c:catAx>
      <c:valAx>
        <c:axId val="4627087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7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tables!PivotTable7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tables'!$O$3</c:f>
              <c:strCache>
                <c:ptCount val="1"/>
                <c:pt idx="0">
                  <c:v>Total</c:v>
                </c:pt>
              </c:strCache>
            </c:strRef>
          </c:tx>
          <c:explosion val="3"/>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cat>
            <c:multiLvlStrRef>
              <c:f>'pivot tables'!$M$4:$N$24</c:f>
              <c:multiLvlStrCache>
                <c:ptCount val="15"/>
                <c:lvl>
                  <c:pt idx="0">
                    <c:v>Appliances</c:v>
                  </c:pt>
                  <c:pt idx="1">
                    <c:v>Electronics</c:v>
                  </c:pt>
                  <c:pt idx="2">
                    <c:v>Furniture</c:v>
                  </c:pt>
                  <c:pt idx="3">
                    <c:v>Appliances</c:v>
                  </c:pt>
                  <c:pt idx="4">
                    <c:v>Electronics</c:v>
                  </c:pt>
                  <c:pt idx="5">
                    <c:v>Furniture</c:v>
                  </c:pt>
                  <c:pt idx="6">
                    <c:v>Appliances</c:v>
                  </c:pt>
                  <c:pt idx="7">
                    <c:v>Electronics</c:v>
                  </c:pt>
                  <c:pt idx="8">
                    <c:v>Furniture</c:v>
                  </c:pt>
                  <c:pt idx="9">
                    <c:v>Appliances</c:v>
                  </c:pt>
                  <c:pt idx="10">
                    <c:v>Electronics</c:v>
                  </c:pt>
                  <c:pt idx="11">
                    <c:v>Furniture</c:v>
                  </c:pt>
                  <c:pt idx="12">
                    <c:v>Appliances</c:v>
                  </c:pt>
                  <c:pt idx="13">
                    <c:v>Electronics</c:v>
                  </c:pt>
                  <c:pt idx="14">
                    <c:v>Furniture</c:v>
                  </c:pt>
                </c:lvl>
                <c:lvl>
                  <c:pt idx="0">
                    <c:v>Central</c:v>
                  </c:pt>
                  <c:pt idx="3">
                    <c:v>East</c:v>
                  </c:pt>
                  <c:pt idx="6">
                    <c:v>North</c:v>
                  </c:pt>
                  <c:pt idx="9">
                    <c:v>South</c:v>
                  </c:pt>
                  <c:pt idx="12">
                    <c:v>West</c:v>
                  </c:pt>
                </c:lvl>
              </c:multiLvlStrCache>
            </c:multiLvlStrRef>
          </c:cat>
          <c:val>
            <c:numRef>
              <c:f>'pivot tables'!$O$4:$O$24</c:f>
              <c:numCache>
                <c:formatCode>General</c:formatCode>
                <c:ptCount val="15"/>
                <c:pt idx="0">
                  <c:v>1999.71</c:v>
                </c:pt>
                <c:pt idx="1">
                  <c:v>24889.329999999998</c:v>
                </c:pt>
                <c:pt idx="2">
                  <c:v>14399.300000000001</c:v>
                </c:pt>
                <c:pt idx="3">
                  <c:v>2239.67</c:v>
                </c:pt>
                <c:pt idx="4">
                  <c:v>50649.009999999995</c:v>
                </c:pt>
                <c:pt idx="5">
                  <c:v>6399.71</c:v>
                </c:pt>
                <c:pt idx="6">
                  <c:v>1119.8399999999999</c:v>
                </c:pt>
                <c:pt idx="7">
                  <c:v>39239.040000000015</c:v>
                </c:pt>
                <c:pt idx="8">
                  <c:v>10449.429999999997</c:v>
                </c:pt>
                <c:pt idx="9">
                  <c:v>1099.83</c:v>
                </c:pt>
                <c:pt idx="10">
                  <c:v>25549.32</c:v>
                </c:pt>
                <c:pt idx="11">
                  <c:v>9749.5999999999985</c:v>
                </c:pt>
                <c:pt idx="12">
                  <c:v>1879.69</c:v>
                </c:pt>
                <c:pt idx="13">
                  <c:v>31429.35</c:v>
                </c:pt>
                <c:pt idx="14">
                  <c:v>8099.6400000000012</c:v>
                </c:pt>
              </c:numCache>
            </c:numRef>
          </c:val>
          <c:extLst>
            <c:ext xmlns:c16="http://schemas.microsoft.com/office/drawing/2014/chart" uri="{C3380CC4-5D6E-409C-BE32-E72D297353CC}">
              <c16:uniqueId val="{00000000-48BA-4483-ABCE-402FF42AC5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tables!PivotTable3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tables'!$H$2</c:f>
              <c:strCache>
                <c:ptCount val="1"/>
                <c:pt idx="0">
                  <c:v>Total</c:v>
                </c:pt>
              </c:strCache>
            </c:strRef>
          </c:tx>
          <c:spPr>
            <a:solidFill>
              <a:schemeClr val="accent1"/>
            </a:solidFill>
            <a:ln>
              <a:noFill/>
            </a:ln>
            <a:effectLst/>
            <a:sp3d/>
          </c:spPr>
          <c:cat>
            <c:strRef>
              <c:f>'pivot tables'!$G$3:$G$13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tables'!$H$3:$H$13</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smooth val="0"/>
          <c:extLst>
            <c:ext xmlns:c16="http://schemas.microsoft.com/office/drawing/2014/chart" uri="{C3380CC4-5D6E-409C-BE32-E72D297353CC}">
              <c16:uniqueId val="{00000000-E864-4977-A550-5F2C70F1AC56}"/>
            </c:ext>
          </c:extLst>
        </c:ser>
        <c:dLbls>
          <c:showLegendKey val="0"/>
          <c:showVal val="0"/>
          <c:showCatName val="0"/>
          <c:showSerName val="0"/>
          <c:showPercent val="0"/>
          <c:showBubbleSize val="0"/>
        </c:dLbls>
        <c:axId val="422263871"/>
        <c:axId val="422264351"/>
        <c:axId val="421683903"/>
      </c:line3DChart>
      <c:catAx>
        <c:axId val="422263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64351"/>
        <c:crosses val="autoZero"/>
        <c:auto val="1"/>
        <c:lblAlgn val="ctr"/>
        <c:lblOffset val="100"/>
        <c:noMultiLvlLbl val="0"/>
      </c:catAx>
      <c:valAx>
        <c:axId val="42226435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63871"/>
        <c:crosses val="autoZero"/>
        <c:crossBetween val="between"/>
      </c:valAx>
      <c:serAx>
        <c:axId val="4216839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643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Products by Revenue</a:t>
            </a:r>
          </a:p>
        </c:rich>
      </c:tx>
      <c:layout>
        <c:manualLayout>
          <c:xMode val="edge"/>
          <c:yMode val="edge"/>
          <c:x val="0.30794185185185186"/>
          <c:y val="6.1148148148148146E-2"/>
        </c:manualLayout>
      </c:layout>
      <c:overlay val="1"/>
    </c:title>
    <c:autoTitleDeleted val="0"/>
    <c:plotArea>
      <c:layout>
        <c:manualLayout>
          <c:layoutTarget val="inner"/>
          <c:xMode val="edge"/>
          <c:yMode val="edge"/>
          <c:x val="3.0574074074074073E-2"/>
          <c:y val="5.174074074074074E-2"/>
          <c:w val="0.77608074074074074"/>
          <c:h val="0.89651851851851849"/>
        </c:manualLayout>
      </c:layout>
      <c:barChart>
        <c:barDir val="col"/>
        <c:grouping val="clustered"/>
        <c:varyColors val="1"/>
        <c:ser>
          <c:idx val="0"/>
          <c:order val="0"/>
          <c:tx>
            <c:strRef>
              <c:f>[1]Sales_by_Product!$B$1</c:f>
              <c:strCache>
                <c:ptCount val="1"/>
                <c:pt idx="0">
                  <c:v>Total_Amount</c:v>
                </c:pt>
              </c:strCache>
            </c:strRef>
          </c:tx>
          <c:spPr>
            <a:ln>
              <a:prstDash val="solid"/>
            </a:ln>
          </c:spPr>
          <c:invertIfNegative val="1"/>
          <c:cat>
            <c:strRef>
              <c:f>[1]Sales_by_Product!$A$2:$A$6</c:f>
              <c:strCache>
                <c:ptCount val="5"/>
                <c:pt idx="0">
                  <c:v>Laptop</c:v>
                </c:pt>
                <c:pt idx="1">
                  <c:v>Smartphone</c:v>
                </c:pt>
                <c:pt idx="2">
                  <c:v>Desk</c:v>
                </c:pt>
                <c:pt idx="3">
                  <c:v>Monitor</c:v>
                </c:pt>
                <c:pt idx="4">
                  <c:v>Bookshelf</c:v>
                </c:pt>
              </c:strCache>
            </c:strRef>
          </c:cat>
          <c:val>
            <c:numRef>
              <c:f>[1]Sales_by_Product!$B$2:$B$6</c:f>
              <c:numCache>
                <c:formatCode>General</c:formatCode>
                <c:ptCount val="5"/>
                <c:pt idx="0">
                  <c:v>67499.25</c:v>
                </c:pt>
                <c:pt idx="1">
                  <c:v>67199.039999999994</c:v>
                </c:pt>
                <c:pt idx="2">
                  <c:v>23399.22</c:v>
                </c:pt>
                <c:pt idx="3">
                  <c:v>21999.119999999999</c:v>
                </c:pt>
                <c:pt idx="4">
                  <c:v>15298.98</c:v>
                </c:pt>
              </c:numCache>
            </c:numRef>
          </c:val>
          <c:extLst>
            <c:ext xmlns:c16="http://schemas.microsoft.com/office/drawing/2014/chart" uri="{C3380CC4-5D6E-409C-BE32-E72D297353CC}">
              <c16:uniqueId val="{00000000-9954-47F7-BC41-3FD54FFF239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Region</a:t>
            </a:r>
          </a:p>
        </c:rich>
      </c:tx>
      <c:layout>
        <c:manualLayout>
          <c:xMode val="edge"/>
          <c:yMode val="edge"/>
          <c:x val="1.3748703703703709E-2"/>
          <c:y val="6.5851851851851856E-2"/>
        </c:manualLayout>
      </c:layout>
      <c:overlay val="1"/>
    </c:title>
    <c:autoTitleDeleted val="0"/>
    <c:plotArea>
      <c:layout>
        <c:manualLayout>
          <c:layoutTarget val="inner"/>
          <c:xMode val="edge"/>
          <c:yMode val="edge"/>
          <c:x val="0.26881481481481484"/>
          <c:y val="5.6444444444444443E-2"/>
          <c:w val="0.44825925925925925"/>
          <c:h val="0.89651851851851849"/>
        </c:manualLayout>
      </c:layout>
      <c:pieChart>
        <c:varyColors val="1"/>
        <c:ser>
          <c:idx val="0"/>
          <c:order val="0"/>
          <c:tx>
            <c:strRef>
              <c:f>[1]Sales_by_Region!$B$1</c:f>
              <c:strCache>
                <c:ptCount val="1"/>
                <c:pt idx="0">
                  <c:v>Total_Amount</c:v>
                </c:pt>
              </c:strCache>
            </c:strRef>
          </c:tx>
          <c:spPr>
            <a:ln>
              <a:prstDash val="solid"/>
            </a:ln>
          </c:spPr>
          <c:cat>
            <c:strRef>
              <c:f>[1]Sales_by_Region!$A$2:$A$6</c:f>
              <c:strCache>
                <c:ptCount val="5"/>
                <c:pt idx="0">
                  <c:v>East</c:v>
                </c:pt>
                <c:pt idx="1">
                  <c:v>North</c:v>
                </c:pt>
                <c:pt idx="2">
                  <c:v>West</c:v>
                </c:pt>
                <c:pt idx="3">
                  <c:v>Central</c:v>
                </c:pt>
                <c:pt idx="4">
                  <c:v>South</c:v>
                </c:pt>
              </c:strCache>
            </c:strRef>
          </c:cat>
          <c:val>
            <c:numRef>
              <c:f>[1]Sales_by_Region!$B$2:$B$6</c:f>
              <c:numCache>
                <c:formatCode>General</c:formatCode>
                <c:ptCount val="5"/>
                <c:pt idx="0">
                  <c:v>59288.39</c:v>
                </c:pt>
                <c:pt idx="1">
                  <c:v>50808.31</c:v>
                </c:pt>
                <c:pt idx="2">
                  <c:v>41408.68</c:v>
                </c:pt>
                <c:pt idx="3">
                  <c:v>41288.339999999997</c:v>
                </c:pt>
                <c:pt idx="4">
                  <c:v>36398.75</c:v>
                </c:pt>
              </c:numCache>
            </c:numRef>
          </c:val>
          <c:extLst>
            <c:ext xmlns:c16="http://schemas.microsoft.com/office/drawing/2014/chart" uri="{C3380CC4-5D6E-409C-BE32-E72D297353CC}">
              <c16:uniqueId val="{00000000-E207-46CD-B1ED-0E8F827BE81A}"/>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Customer Segment</a:t>
            </a:r>
          </a:p>
        </c:rich>
      </c:tx>
      <c:layout>
        <c:manualLayout>
          <c:xMode val="edge"/>
          <c:yMode val="edge"/>
          <c:x val="0.29481851851851854"/>
          <c:y val="2.8222222222222221E-2"/>
        </c:manualLayout>
      </c:layout>
      <c:overlay val="1"/>
    </c:title>
    <c:autoTitleDeleted val="0"/>
    <c:plotArea>
      <c:layout/>
      <c:barChart>
        <c:barDir val="col"/>
        <c:grouping val="clustered"/>
        <c:varyColors val="1"/>
        <c:ser>
          <c:idx val="0"/>
          <c:order val="0"/>
          <c:tx>
            <c:strRef>
              <c:f>[1]Sales_by_Segment!$B$1</c:f>
              <c:strCache>
                <c:ptCount val="1"/>
                <c:pt idx="0">
                  <c:v>Total_Amount</c:v>
                </c:pt>
              </c:strCache>
            </c:strRef>
          </c:tx>
          <c:spPr>
            <a:ln>
              <a:prstDash val="solid"/>
            </a:ln>
          </c:spPr>
          <c:invertIfNegative val="1"/>
          <c:cat>
            <c:strRef>
              <c:f>[1]Sales_by_Segment!$A$2:$A$4</c:f>
              <c:strCache>
                <c:ptCount val="3"/>
                <c:pt idx="0">
                  <c:v>Premium</c:v>
                </c:pt>
                <c:pt idx="1">
                  <c:v>Standard</c:v>
                </c:pt>
                <c:pt idx="2">
                  <c:v>Basic</c:v>
                </c:pt>
              </c:strCache>
            </c:strRef>
          </c:cat>
          <c:val>
            <c:numRef>
              <c:f>[1]Sales_by_Segment!$B$2:$B$4</c:f>
              <c:numCache>
                <c:formatCode>General</c:formatCode>
                <c:ptCount val="3"/>
                <c:pt idx="0">
                  <c:v>84657.12</c:v>
                </c:pt>
                <c:pt idx="1">
                  <c:v>82357.539999999994</c:v>
                </c:pt>
                <c:pt idx="2">
                  <c:v>62177.81</c:v>
                </c:pt>
              </c:numCache>
            </c:numRef>
          </c:val>
          <c:extLst>
            <c:ext xmlns:c16="http://schemas.microsoft.com/office/drawing/2014/chart" uri="{C3380CC4-5D6E-409C-BE32-E72D297353CC}">
              <c16:uniqueId val="{00000000-3384-4E22-833F-3E85BD7D45D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Sales Trend</a:t>
            </a:r>
          </a:p>
        </c:rich>
      </c:tx>
      <c:layout>
        <c:manualLayout>
          <c:xMode val="edge"/>
          <c:yMode val="edge"/>
          <c:x val="0.19131351851851852"/>
          <c:y val="7.9962962962962958E-2"/>
        </c:manualLayout>
      </c:layout>
      <c:overlay val="1"/>
    </c:title>
    <c:autoTitleDeleted val="0"/>
    <c:plotArea>
      <c:layout/>
      <c:lineChart>
        <c:grouping val="standard"/>
        <c:varyColors val="1"/>
        <c:ser>
          <c:idx val="0"/>
          <c:order val="0"/>
          <c:tx>
            <c:strRef>
              <c:f>[1]Monthly_Sales!$B$1</c:f>
              <c:strCache>
                <c:ptCount val="1"/>
                <c:pt idx="0">
                  <c:v>Total_Amount</c:v>
                </c:pt>
              </c:strCache>
            </c:strRef>
          </c:tx>
          <c:spPr>
            <a:ln>
              <a:prstDash val="solid"/>
            </a:ln>
          </c:spPr>
          <c:marker>
            <c:symbol val="none"/>
          </c:marker>
          <c:cat>
            <c:strRef>
              <c:f>[1]Monthly_Sales!$A$2:$A$13</c:f>
              <c:strCache>
                <c:ptCount val="12"/>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strCache>
            </c:strRef>
          </c:cat>
          <c:val>
            <c:numRef>
              <c:f>[1]Monthly_Sales!$B$2:$B$13</c:f>
              <c:numCache>
                <c:formatCode>General</c:formatCode>
                <c:ptCount val="12"/>
                <c:pt idx="0">
                  <c:v>20919.330000000002</c:v>
                </c:pt>
                <c:pt idx="1">
                  <c:v>17039.349999999999</c:v>
                </c:pt>
                <c:pt idx="2">
                  <c:v>19299.45</c:v>
                </c:pt>
                <c:pt idx="3">
                  <c:v>18479.400000000001</c:v>
                </c:pt>
                <c:pt idx="4">
                  <c:v>15759.43</c:v>
                </c:pt>
                <c:pt idx="5">
                  <c:v>12989.51</c:v>
                </c:pt>
                <c:pt idx="6">
                  <c:v>20609.52</c:v>
                </c:pt>
                <c:pt idx="7">
                  <c:v>12309.44</c:v>
                </c:pt>
                <c:pt idx="8">
                  <c:v>23039.3</c:v>
                </c:pt>
                <c:pt idx="9">
                  <c:v>25799.15</c:v>
                </c:pt>
                <c:pt idx="10">
                  <c:v>16069.38</c:v>
                </c:pt>
                <c:pt idx="11">
                  <c:v>19899.38</c:v>
                </c:pt>
              </c:numCache>
            </c:numRef>
          </c:val>
          <c:smooth val="1"/>
          <c:extLst>
            <c:ext xmlns:c16="http://schemas.microsoft.com/office/drawing/2014/chart" uri="{C3380CC4-5D6E-409C-BE32-E72D297353CC}">
              <c16:uniqueId val="{00000000-02C1-41CA-BE85-AD279CE0344E}"/>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331947</xdr:colOff>
      <xdr:row>8</xdr:row>
      <xdr:rowOff>148827</xdr:rowOff>
    </xdr:from>
    <xdr:to>
      <xdr:col>3</xdr:col>
      <xdr:colOff>516731</xdr:colOff>
      <xdr:row>19</xdr:row>
      <xdr:rowOff>54053</xdr:rowOff>
    </xdr:to>
    <xdr:graphicFrame macro="">
      <xdr:nvGraphicFramePr>
        <xdr:cNvPr id="2" name="Chart 1">
          <a:extLst>
            <a:ext uri="{FF2B5EF4-FFF2-40B4-BE49-F238E27FC236}">
              <a16:creationId xmlns:a16="http://schemas.microsoft.com/office/drawing/2014/main" id="{F10FDFA3-58BF-889B-CAAC-336043B62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993457</xdr:colOff>
      <xdr:row>24</xdr:row>
      <xdr:rowOff>120967</xdr:rowOff>
    </xdr:from>
    <xdr:to>
      <xdr:col>15</xdr:col>
      <xdr:colOff>266700</xdr:colOff>
      <xdr:row>37</xdr:row>
      <xdr:rowOff>53340</xdr:rowOff>
    </xdr:to>
    <xdr:graphicFrame macro="">
      <xdr:nvGraphicFramePr>
        <xdr:cNvPr id="5" name="Chart 4">
          <a:extLst>
            <a:ext uri="{FF2B5EF4-FFF2-40B4-BE49-F238E27FC236}">
              <a16:creationId xmlns:a16="http://schemas.microsoft.com/office/drawing/2014/main" id="{5F7CF4B6-9426-8342-322F-616F0404F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930593</xdr:colOff>
      <xdr:row>13</xdr:row>
      <xdr:rowOff>172402</xdr:rowOff>
    </xdr:from>
    <xdr:to>
      <xdr:col>9</xdr:col>
      <xdr:colOff>386716</xdr:colOff>
      <xdr:row>26</xdr:row>
      <xdr:rowOff>76200</xdr:rowOff>
    </xdr:to>
    <xdr:graphicFrame macro="">
      <xdr:nvGraphicFramePr>
        <xdr:cNvPr id="6" name="Chart 5">
          <a:extLst>
            <a:ext uri="{FF2B5EF4-FFF2-40B4-BE49-F238E27FC236}">
              <a16:creationId xmlns:a16="http://schemas.microsoft.com/office/drawing/2014/main" id="{D8CB556E-06C5-EB43-2017-419C3980C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462915</xdr:colOff>
      <xdr:row>20</xdr:row>
      <xdr:rowOff>38097</xdr:rowOff>
    </xdr:from>
    <xdr:to>
      <xdr:col>3</xdr:col>
      <xdr:colOff>421005</xdr:colOff>
      <xdr:row>25</xdr:row>
      <xdr:rowOff>74295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9FFB255-1C29-CFC1-FF24-4A92162C34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4820" y="3657597"/>
              <a:ext cx="2823210" cy="94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139065</xdr:colOff>
      <xdr:row>6</xdr:row>
      <xdr:rowOff>24765</xdr:rowOff>
    </xdr:from>
    <xdr:to>
      <xdr:col>10</xdr:col>
      <xdr:colOff>285750</xdr:colOff>
      <xdr:row>12</xdr:row>
      <xdr:rowOff>91440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D73E890D-9D43-C019-D06D-C1D8F782970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60205" y="1106805"/>
              <a:ext cx="1842135" cy="1160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11</xdr:row>
      <xdr:rowOff>148590</xdr:rowOff>
    </xdr:from>
    <xdr:to>
      <xdr:col>16</xdr:col>
      <xdr:colOff>702945</xdr:colOff>
      <xdr:row>18</xdr:row>
      <xdr:rowOff>78105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66065B20-BEB0-F31F-FFE4-C834D337B2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583025" y="2139315"/>
              <a:ext cx="1811655"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102870</xdr:colOff>
      <xdr:row>1</xdr:row>
      <xdr:rowOff>177165</xdr:rowOff>
    </xdr:from>
    <xdr:to>
      <xdr:col>16</xdr:col>
      <xdr:colOff>720090</xdr:colOff>
      <xdr:row>11</xdr:row>
      <xdr:rowOff>15240</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D45E4CBA-C5B9-50D5-3930-6AA9FB7D08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569690" y="354330"/>
              <a:ext cx="1838325" cy="1655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91504</xdr:colOff>
      <xdr:row>9</xdr:row>
      <xdr:rowOff>34724</xdr:rowOff>
    </xdr:from>
    <xdr:ext cx="5400000" cy="2700000"/>
    <xdr:graphicFrame macro="">
      <xdr:nvGraphicFramePr>
        <xdr:cNvPr id="2" name="Chart 1">
          <a:extLst>
            <a:ext uri="{FF2B5EF4-FFF2-40B4-BE49-F238E27FC236}">
              <a16:creationId xmlns:a16="http://schemas.microsoft.com/office/drawing/2014/main" id="{8AA66EBE-06F3-470D-8C56-A444F283C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216306</xdr:colOff>
      <xdr:row>26</xdr:row>
      <xdr:rowOff>51914</xdr:rowOff>
    </xdr:from>
    <xdr:ext cx="5400000" cy="2700000"/>
    <xdr:graphicFrame macro="">
      <xdr:nvGraphicFramePr>
        <xdr:cNvPr id="3" name="Chart 2">
          <a:extLst>
            <a:ext uri="{FF2B5EF4-FFF2-40B4-BE49-F238E27FC236}">
              <a16:creationId xmlns:a16="http://schemas.microsoft.com/office/drawing/2014/main" id="{0339079E-9603-45A1-90E9-D2A64138C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11</xdr:col>
      <xdr:colOff>578399</xdr:colOff>
      <xdr:row>9</xdr:row>
      <xdr:rowOff>63041</xdr:rowOff>
    </xdr:from>
    <xdr:ext cx="5400000" cy="2700000"/>
    <xdr:graphicFrame macro="">
      <xdr:nvGraphicFramePr>
        <xdr:cNvPr id="4" name="Chart 3">
          <a:extLst>
            <a:ext uri="{FF2B5EF4-FFF2-40B4-BE49-F238E27FC236}">
              <a16:creationId xmlns:a16="http://schemas.microsoft.com/office/drawing/2014/main" id="{EF89AA8B-C3F7-454E-8FF6-59BAA3E65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429409</xdr:colOff>
      <xdr:row>25</xdr:row>
      <xdr:rowOff>141259</xdr:rowOff>
    </xdr:from>
    <xdr:ext cx="5400000" cy="2700000"/>
    <xdr:graphicFrame macro="">
      <xdr:nvGraphicFramePr>
        <xdr:cNvPr id="5" name="Chart 4">
          <a:extLst>
            <a:ext uri="{FF2B5EF4-FFF2-40B4-BE49-F238E27FC236}">
              <a16:creationId xmlns:a16="http://schemas.microsoft.com/office/drawing/2014/main" id="{C989B953-AB12-409A-A088-73AB8ADDF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2</xdr:row>
      <xdr:rowOff>7434</xdr:rowOff>
    </xdr:from>
    <xdr:ext cx="9318258" cy="1782924"/>
    <xdr:sp macro="" textlink="">
      <xdr:nvSpPr>
        <xdr:cNvPr id="6" name="Rectangle 5">
          <a:extLst>
            <a:ext uri="{FF2B5EF4-FFF2-40B4-BE49-F238E27FC236}">
              <a16:creationId xmlns:a16="http://schemas.microsoft.com/office/drawing/2014/main" id="{BE5DDDD8-138A-ECB9-23A5-0F42CD20B3E0}"/>
            </a:ext>
          </a:extLst>
        </xdr:cNvPr>
        <xdr:cNvSpPr/>
      </xdr:nvSpPr>
      <xdr:spPr>
        <a:xfrm>
          <a:off x="0" y="369384"/>
          <a:ext cx="9318258" cy="1782924"/>
        </a:xfrm>
        <a:prstGeom prst="rect">
          <a:avLst/>
        </a:prstGeom>
        <a:noFill/>
      </xdr:spPr>
      <xdr:txBody>
        <a:bodyPr wrap="squar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DashBoard!</a:t>
          </a:r>
        </a:p>
        <a:p>
          <a:pPr algn="ct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_Dashboard_Project.xlsx" TargetMode="External"/><Relationship Id="rId1" Type="http://schemas.openxmlformats.org/officeDocument/2006/relationships/externalLinkPath" Target="Excel_Dashboard_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Data"/>
      <sheetName val="Sales_by_Product"/>
      <sheetName val="Sales_by_Region"/>
      <sheetName val="Sales_by_Segment"/>
      <sheetName val="Monthly_Sales"/>
      <sheetName val="Dashboard (2)"/>
    </sheetNames>
    <sheetDataSet>
      <sheetData sheetId="0"/>
      <sheetData sheetId="1">
        <row r="1">
          <cell r="B1" t="str">
            <v>Total_Amount</v>
          </cell>
        </row>
        <row r="2">
          <cell r="A2" t="str">
            <v>Laptop</v>
          </cell>
          <cell r="B2">
            <v>67499.25</v>
          </cell>
        </row>
        <row r="3">
          <cell r="A3" t="str">
            <v>Smartphone</v>
          </cell>
          <cell r="B3">
            <v>67199.039999999994</v>
          </cell>
        </row>
        <row r="4">
          <cell r="A4" t="str">
            <v>Desk</v>
          </cell>
          <cell r="B4">
            <v>23399.22</v>
          </cell>
        </row>
        <row r="5">
          <cell r="A5" t="str">
            <v>Monitor</v>
          </cell>
          <cell r="B5">
            <v>21999.119999999999</v>
          </cell>
        </row>
        <row r="6">
          <cell r="A6" t="str">
            <v>Bookshelf</v>
          </cell>
          <cell r="B6">
            <v>15298.98</v>
          </cell>
        </row>
      </sheetData>
      <sheetData sheetId="2">
        <row r="1">
          <cell r="B1" t="str">
            <v>Total_Amount</v>
          </cell>
        </row>
        <row r="2">
          <cell r="A2" t="str">
            <v>East</v>
          </cell>
          <cell r="B2">
            <v>59288.39</v>
          </cell>
        </row>
        <row r="3">
          <cell r="A3" t="str">
            <v>North</v>
          </cell>
          <cell r="B3">
            <v>50808.31</v>
          </cell>
        </row>
        <row r="4">
          <cell r="A4" t="str">
            <v>West</v>
          </cell>
          <cell r="B4">
            <v>41408.68</v>
          </cell>
        </row>
        <row r="5">
          <cell r="A5" t="str">
            <v>Central</v>
          </cell>
          <cell r="B5">
            <v>41288.339999999997</v>
          </cell>
        </row>
        <row r="6">
          <cell r="A6" t="str">
            <v>South</v>
          </cell>
          <cell r="B6">
            <v>36398.75</v>
          </cell>
        </row>
      </sheetData>
      <sheetData sheetId="3">
        <row r="1">
          <cell r="B1" t="str">
            <v>Total_Amount</v>
          </cell>
        </row>
        <row r="2">
          <cell r="A2" t="str">
            <v>Premium</v>
          </cell>
          <cell r="B2">
            <v>84657.12</v>
          </cell>
        </row>
        <row r="3">
          <cell r="A3" t="str">
            <v>Standard</v>
          </cell>
          <cell r="B3">
            <v>82357.539999999994</v>
          </cell>
        </row>
        <row r="4">
          <cell r="A4" t="str">
            <v>Basic</v>
          </cell>
          <cell r="B4">
            <v>62177.81</v>
          </cell>
        </row>
      </sheetData>
      <sheetData sheetId="4">
        <row r="1">
          <cell r="B1" t="str">
            <v>Total_Amount</v>
          </cell>
        </row>
        <row r="2">
          <cell r="A2" t="str">
            <v>2024-04</v>
          </cell>
          <cell r="B2">
            <v>20919.330000000002</v>
          </cell>
        </row>
        <row r="3">
          <cell r="A3" t="str">
            <v>2024-05</v>
          </cell>
          <cell r="B3">
            <v>17039.349999999999</v>
          </cell>
        </row>
        <row r="4">
          <cell r="A4" t="str">
            <v>2024-06</v>
          </cell>
          <cell r="B4">
            <v>19299.45</v>
          </cell>
        </row>
        <row r="5">
          <cell r="A5" t="str">
            <v>2024-07</v>
          </cell>
          <cell r="B5">
            <v>18479.400000000001</v>
          </cell>
        </row>
        <row r="6">
          <cell r="A6" t="str">
            <v>2024-08</v>
          </cell>
          <cell r="B6">
            <v>15759.43</v>
          </cell>
        </row>
        <row r="7">
          <cell r="A7" t="str">
            <v>2024-09</v>
          </cell>
          <cell r="B7">
            <v>12989.51</v>
          </cell>
        </row>
        <row r="8">
          <cell r="A8" t="str">
            <v>2024-10</v>
          </cell>
          <cell r="B8">
            <v>20609.52</v>
          </cell>
        </row>
        <row r="9">
          <cell r="A9" t="str">
            <v>2024-11</v>
          </cell>
          <cell r="B9">
            <v>12309.44</v>
          </cell>
        </row>
        <row r="10">
          <cell r="A10" t="str">
            <v>2024-12</v>
          </cell>
          <cell r="B10">
            <v>23039.3</v>
          </cell>
        </row>
        <row r="11">
          <cell r="A11" t="str">
            <v>2025-01</v>
          </cell>
          <cell r="B11">
            <v>25799.15</v>
          </cell>
        </row>
        <row r="12">
          <cell r="A12" t="str">
            <v>2025-02</v>
          </cell>
          <cell r="B12">
            <v>16069.38</v>
          </cell>
        </row>
        <row r="13">
          <cell r="A13" t="str">
            <v>2025-03</v>
          </cell>
          <cell r="B13">
            <v>19899.38</v>
          </cell>
        </row>
      </sheetData>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 k" refreshedDate="46098.738386689816" createdVersion="8" refreshedVersion="8" minRefreshableVersion="3" recordCount="250" xr:uid="{B959890D-2DE0-4667-BEA5-BCB243C8BE52}">
  <cacheSource type="worksheet">
    <worksheetSource name="Table1"/>
  </cacheSource>
  <cacheFields count="14">
    <cacheField name="Transaction_ID" numFmtId="0">
      <sharedItems/>
    </cacheField>
    <cacheField name="Date" numFmtId="14">
      <sharedItems containsSemiMixedTypes="0" containsNonDate="0" containsDate="1" containsString="0" minDate="2024-04-11T00:00:00" maxDate="2024-12-17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s>
  <extLst>
    <ext xmlns:x14="http://schemas.microsoft.com/office/spreadsheetml/2009/9/main" uri="{725AE2AE-9491-48be-B2B4-4EB974FC3084}">
      <x14:pivotCacheDefinition pivotCacheId="837262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x v="0"/>
    <x v="0"/>
    <n v="3"/>
    <n v="249.99"/>
    <s v="Cash"/>
    <x v="0"/>
    <x v="0"/>
    <d v="2021-08-17T00:00:00"/>
    <x v="0"/>
  </r>
  <r>
    <s v="TRX0023"/>
    <d v="2024-04-12T00:00:00"/>
    <s v="CUST013"/>
    <x v="1"/>
    <s v="P009"/>
    <x v="0"/>
    <x v="0"/>
    <n v="3"/>
    <n v="249.99"/>
    <s v="Credit Card"/>
    <x v="0"/>
    <x v="1"/>
    <d v="2022-01-14T00:00:00"/>
    <x v="0"/>
  </r>
  <r>
    <s v="TRX0139"/>
    <d v="2024-04-13T00:00:00"/>
    <s v="CUST021"/>
    <x v="2"/>
    <s v="P005"/>
    <x v="1"/>
    <x v="1"/>
    <n v="3"/>
    <n v="59.99"/>
    <s v="PayPal"/>
    <x v="1"/>
    <x v="2"/>
    <d v="2023-12-02T00:00:00"/>
    <x v="1"/>
  </r>
  <r>
    <s v="TRX0043"/>
    <d v="2024-04-14T00:00:00"/>
    <s v="CUST046"/>
    <x v="3"/>
    <s v="P005"/>
    <x v="1"/>
    <x v="1"/>
    <n v="3"/>
    <n v="59.99"/>
    <s v="Cash"/>
    <x v="2"/>
    <x v="1"/>
    <d v="2023-07-07T00:00:00"/>
    <x v="1"/>
  </r>
  <r>
    <s v="TRX0212"/>
    <d v="2024-04-15T00:00:00"/>
    <s v="CUST003"/>
    <x v="4"/>
    <s v="P008"/>
    <x v="2"/>
    <x v="2"/>
    <n v="5"/>
    <n v="149.99"/>
    <s v="Credit Card"/>
    <x v="2"/>
    <x v="1"/>
    <d v="2024-01-04T00:00:00"/>
    <x v="2"/>
  </r>
  <r>
    <s v="TRX0092"/>
    <d v="2024-04-16T00:00:00"/>
    <s v="CUST024"/>
    <x v="5"/>
    <s v="P005"/>
    <x v="1"/>
    <x v="1"/>
    <n v="2"/>
    <n v="59.99"/>
    <s v="Cash"/>
    <x v="3"/>
    <x v="2"/>
    <d v="2022-07-04T00:00:00"/>
    <x v="3"/>
  </r>
  <r>
    <s v="TRX0193"/>
    <d v="2024-04-17T00:00:00"/>
    <s v="CUST024"/>
    <x v="5"/>
    <s v="P003"/>
    <x v="3"/>
    <x v="0"/>
    <n v="5"/>
    <n v="149.99"/>
    <s v="Credit Card"/>
    <x v="0"/>
    <x v="2"/>
    <d v="2021-08-10T00:00:00"/>
    <x v="2"/>
  </r>
  <r>
    <s v="TRX0240"/>
    <d v="2024-04-18T00:00:00"/>
    <s v="CUST017"/>
    <x v="6"/>
    <s v="P005"/>
    <x v="1"/>
    <x v="1"/>
    <n v="3"/>
    <n v="59.99"/>
    <s v="Debit Card"/>
    <x v="1"/>
    <x v="0"/>
    <d v="2023-03-22T00:00:00"/>
    <x v="1"/>
  </r>
  <r>
    <s v="TRX0135"/>
    <d v="2024-04-19T00:00:00"/>
    <s v="CUST009"/>
    <x v="7"/>
    <s v="P001"/>
    <x v="4"/>
    <x v="0"/>
    <n v="3"/>
    <n v="899.99"/>
    <s v="PayPal"/>
    <x v="4"/>
    <x v="2"/>
    <d v="2024-01-08T00:00:00"/>
    <x v="4"/>
  </r>
  <r>
    <s v="TRX0185"/>
    <d v="2024-04-20T00:00:00"/>
    <s v="CUST026"/>
    <x v="8"/>
    <s v="P005"/>
    <x v="1"/>
    <x v="1"/>
    <n v="3"/>
    <n v="59.99"/>
    <s v="Cash"/>
    <x v="3"/>
    <x v="1"/>
    <d v="2023-10-08T00:00:00"/>
    <x v="1"/>
  </r>
  <r>
    <s v="TRX0138"/>
    <d v="2024-04-21T00:00:00"/>
    <s v="CUST022"/>
    <x v="9"/>
    <s v="P008"/>
    <x v="2"/>
    <x v="2"/>
    <n v="1"/>
    <n v="149.99"/>
    <s v="Credit Card"/>
    <x v="3"/>
    <x v="2"/>
    <d v="2023-06-26T00:00:00"/>
    <x v="5"/>
  </r>
  <r>
    <s v="TRX0209"/>
    <d v="2024-04-22T00:00:00"/>
    <s v="CUST046"/>
    <x v="3"/>
    <s v="P008"/>
    <x v="2"/>
    <x v="2"/>
    <n v="5"/>
    <n v="149.99"/>
    <s v="Debit Card"/>
    <x v="2"/>
    <x v="0"/>
    <d v="2022-09-26T00:00:00"/>
    <x v="2"/>
  </r>
  <r>
    <s v="TRX0246"/>
    <d v="2024-04-23T00:00:00"/>
    <s v="CUST041"/>
    <x v="10"/>
    <s v="P008"/>
    <x v="2"/>
    <x v="2"/>
    <n v="3"/>
    <n v="149.99"/>
    <s v="Cash"/>
    <x v="2"/>
    <x v="1"/>
    <d v="2022-09-02T00:00:00"/>
    <x v="6"/>
  </r>
  <r>
    <s v="TRX0067"/>
    <d v="2024-04-24T00:00:00"/>
    <s v="CUST043"/>
    <x v="11"/>
    <s v="P005"/>
    <x v="1"/>
    <x v="1"/>
    <n v="3"/>
    <n v="59.99"/>
    <s v="Credit Card"/>
    <x v="2"/>
    <x v="2"/>
    <d v="2024-02-29T00:00:00"/>
    <x v="1"/>
  </r>
  <r>
    <s v="TRX0191"/>
    <d v="2024-04-25T00:00:00"/>
    <s v="CUST038"/>
    <x v="12"/>
    <s v="P002"/>
    <x v="5"/>
    <x v="0"/>
    <n v="3"/>
    <n v="699.99"/>
    <s v="Credit Card"/>
    <x v="3"/>
    <x v="0"/>
    <d v="2022-01-16T00:00:00"/>
    <x v="7"/>
  </r>
  <r>
    <s v="TRX0230"/>
    <d v="2024-04-26T00:00:00"/>
    <s v="CUST027"/>
    <x v="13"/>
    <s v="P001"/>
    <x v="4"/>
    <x v="0"/>
    <n v="1"/>
    <n v="899.99"/>
    <s v="Debit Card"/>
    <x v="2"/>
    <x v="2"/>
    <d v="2022-12-25T00:00:00"/>
    <x v="8"/>
  </r>
  <r>
    <s v="TRX0049"/>
    <d v="2024-04-27T00:00:00"/>
    <s v="CUST025"/>
    <x v="14"/>
    <s v="P008"/>
    <x v="2"/>
    <x v="2"/>
    <n v="4"/>
    <n v="149.99"/>
    <s v="Debit Card"/>
    <x v="2"/>
    <x v="1"/>
    <d v="2024-03-23T00:00:00"/>
    <x v="9"/>
  </r>
  <r>
    <s v="TRX0134"/>
    <d v="2024-04-28T00:00:00"/>
    <s v="CUST010"/>
    <x v="15"/>
    <s v="P002"/>
    <x v="5"/>
    <x v="0"/>
    <n v="2"/>
    <n v="699.99"/>
    <s v="Cash"/>
    <x v="2"/>
    <x v="0"/>
    <d v="2022-08-08T00:00:00"/>
    <x v="10"/>
  </r>
  <r>
    <s v="TRX0122"/>
    <d v="2024-04-29T00:00:00"/>
    <s v="CUST025"/>
    <x v="14"/>
    <s v="P001"/>
    <x v="4"/>
    <x v="0"/>
    <n v="4"/>
    <n v="899.99"/>
    <s v="Credit Card"/>
    <x v="3"/>
    <x v="2"/>
    <d v="2024-02-05T00:00:00"/>
    <x v="11"/>
  </r>
  <r>
    <s v="TRX0222"/>
    <d v="2024-04-30T00:00:00"/>
    <s v="CUST048"/>
    <x v="16"/>
    <s v="P009"/>
    <x v="0"/>
    <x v="0"/>
    <n v="3"/>
    <n v="249.99"/>
    <s v="Credit Card"/>
    <x v="2"/>
    <x v="1"/>
    <d v="2023-10-25T00:00:00"/>
    <x v="0"/>
  </r>
  <r>
    <s v="TRX0231"/>
    <d v="2024-05-01T00:00:00"/>
    <s v="CUST018"/>
    <x v="17"/>
    <s v="P002"/>
    <x v="5"/>
    <x v="0"/>
    <n v="5"/>
    <n v="699.99"/>
    <s v="Cash"/>
    <x v="3"/>
    <x v="0"/>
    <d v="2023-08-29T00:00:00"/>
    <x v="12"/>
  </r>
  <r>
    <s v="TRX0239"/>
    <d v="2024-05-02T00:00:00"/>
    <s v="CUST012"/>
    <x v="18"/>
    <s v="P002"/>
    <x v="5"/>
    <x v="0"/>
    <n v="4"/>
    <n v="699.99"/>
    <s v="Cash"/>
    <x v="4"/>
    <x v="2"/>
    <d v="2021-08-01T00:00:00"/>
    <x v="13"/>
  </r>
  <r>
    <s v="TRX0204"/>
    <d v="2024-05-03T00:00:00"/>
    <s v="CUST044"/>
    <x v="19"/>
    <s v="P009"/>
    <x v="0"/>
    <x v="0"/>
    <n v="4"/>
    <n v="249.99"/>
    <s v="PayPal"/>
    <x v="2"/>
    <x v="2"/>
    <d v="2021-09-29T00:00:00"/>
    <x v="14"/>
  </r>
  <r>
    <s v="TRX0242"/>
    <d v="2024-05-04T00:00:00"/>
    <s v="CUST025"/>
    <x v="14"/>
    <s v="P007"/>
    <x v="6"/>
    <x v="2"/>
    <n v="4"/>
    <n v="299.99"/>
    <s v="Cash"/>
    <x v="3"/>
    <x v="1"/>
    <d v="2022-06-04T00:00:00"/>
    <x v="15"/>
  </r>
  <r>
    <s v="TRX0071"/>
    <d v="2024-05-05T00:00:00"/>
    <s v="CUST036"/>
    <x v="20"/>
    <s v="P009"/>
    <x v="0"/>
    <x v="0"/>
    <n v="5"/>
    <n v="249.99"/>
    <s v="Credit Card"/>
    <x v="3"/>
    <x v="2"/>
    <d v="2021-11-25T00:00:00"/>
    <x v="16"/>
  </r>
  <r>
    <s v="TRX0040"/>
    <d v="2024-05-06T00:00:00"/>
    <s v="CUST022"/>
    <x v="9"/>
    <s v="P007"/>
    <x v="6"/>
    <x v="2"/>
    <n v="5"/>
    <n v="299.99"/>
    <s v="PayPal"/>
    <x v="4"/>
    <x v="0"/>
    <d v="2023-08-30T00:00:00"/>
    <x v="17"/>
  </r>
  <r>
    <s v="TRX0235"/>
    <d v="2024-05-07T00:00:00"/>
    <s v="CUST014"/>
    <x v="21"/>
    <s v="P004"/>
    <x v="7"/>
    <x v="1"/>
    <n v="3"/>
    <n v="79.989999999999995"/>
    <s v="PayPal"/>
    <x v="4"/>
    <x v="1"/>
    <d v="2023-03-27T00:00:00"/>
    <x v="18"/>
  </r>
  <r>
    <s v="TRX0004"/>
    <d v="2024-05-08T00:00:00"/>
    <s v="CUST012"/>
    <x v="18"/>
    <s v="P010"/>
    <x v="8"/>
    <x v="0"/>
    <n v="5"/>
    <n v="89.99"/>
    <s v="Cash"/>
    <x v="2"/>
    <x v="1"/>
    <d v="2022-12-24T00:00:00"/>
    <x v="19"/>
  </r>
  <r>
    <s v="TRX0063"/>
    <d v="2024-05-09T00:00:00"/>
    <s v="CUST030"/>
    <x v="22"/>
    <s v="P005"/>
    <x v="1"/>
    <x v="1"/>
    <n v="2"/>
    <n v="59.99"/>
    <s v="Debit Card"/>
    <x v="0"/>
    <x v="2"/>
    <d v="2023-10-15T00:00:00"/>
    <x v="3"/>
  </r>
  <r>
    <s v="TRX0241"/>
    <d v="2024-05-10T00:00:00"/>
    <s v="CUST029"/>
    <x v="23"/>
    <s v="P005"/>
    <x v="1"/>
    <x v="1"/>
    <n v="4"/>
    <n v="59.99"/>
    <s v="Debit Card"/>
    <x v="4"/>
    <x v="2"/>
    <d v="2022-11-02T00:00:00"/>
    <x v="20"/>
  </r>
  <r>
    <s v="TRX0029"/>
    <d v="2024-05-11T00:00:00"/>
    <s v="CUST017"/>
    <x v="6"/>
    <s v="P006"/>
    <x v="9"/>
    <x v="2"/>
    <n v="5"/>
    <n v="199.99"/>
    <s v="Cash"/>
    <x v="1"/>
    <x v="2"/>
    <d v="2021-08-04T00:00:00"/>
    <x v="21"/>
  </r>
  <r>
    <s v="TRX0194"/>
    <d v="2024-05-12T00:00:00"/>
    <s v="CUST006"/>
    <x v="24"/>
    <s v="P008"/>
    <x v="2"/>
    <x v="2"/>
    <n v="2"/>
    <n v="149.99"/>
    <s v="Credit Card"/>
    <x v="3"/>
    <x v="0"/>
    <d v="2022-09-19T00:00:00"/>
    <x v="22"/>
  </r>
  <r>
    <s v="TRX0130"/>
    <d v="2024-05-13T00:00:00"/>
    <s v="CUST002"/>
    <x v="25"/>
    <s v="P008"/>
    <x v="2"/>
    <x v="2"/>
    <n v="3"/>
    <n v="149.99"/>
    <s v="Credit Card"/>
    <x v="3"/>
    <x v="1"/>
    <d v="2023-05-22T00:00:00"/>
    <x v="6"/>
  </r>
  <r>
    <s v="TRX0041"/>
    <d v="2024-05-14T00:00:00"/>
    <s v="CUST021"/>
    <x v="2"/>
    <s v="P001"/>
    <x v="4"/>
    <x v="0"/>
    <n v="1"/>
    <n v="899.99"/>
    <s v="Credit Card"/>
    <x v="3"/>
    <x v="1"/>
    <d v="2022-01-17T00:00:00"/>
    <x v="8"/>
  </r>
  <r>
    <s v="TRX0232"/>
    <d v="2024-05-15T00:00:00"/>
    <s v="CUST012"/>
    <x v="18"/>
    <s v="P007"/>
    <x v="6"/>
    <x v="2"/>
    <n v="3"/>
    <n v="299.99"/>
    <s v="Credit Card"/>
    <x v="4"/>
    <x v="0"/>
    <d v="2022-09-20T00:00:00"/>
    <x v="23"/>
  </r>
  <r>
    <s v="TRX0021"/>
    <d v="2024-05-16T00:00:00"/>
    <s v="CUST006"/>
    <x v="24"/>
    <s v="P004"/>
    <x v="7"/>
    <x v="1"/>
    <n v="3"/>
    <n v="79.989999999999995"/>
    <s v="Cash"/>
    <x v="1"/>
    <x v="0"/>
    <d v="2023-04-30T00:00:00"/>
    <x v="18"/>
  </r>
  <r>
    <s v="TRX0245"/>
    <d v="2024-05-17T00:00:00"/>
    <s v="CUST031"/>
    <x v="26"/>
    <s v="P006"/>
    <x v="9"/>
    <x v="2"/>
    <n v="3"/>
    <n v="199.99"/>
    <s v="Credit Card"/>
    <x v="2"/>
    <x v="1"/>
    <d v="2024-01-01T00:00:00"/>
    <x v="24"/>
  </r>
  <r>
    <s v="TRX0015"/>
    <d v="2024-05-18T00:00:00"/>
    <s v="CUST008"/>
    <x v="27"/>
    <s v="P002"/>
    <x v="5"/>
    <x v="0"/>
    <n v="5"/>
    <n v="699.99"/>
    <s v="PayPal"/>
    <x v="3"/>
    <x v="2"/>
    <d v="2021-07-30T00:00:00"/>
    <x v="12"/>
  </r>
  <r>
    <s v="TRX0202"/>
    <d v="2024-05-19T00:00:00"/>
    <s v="CUST035"/>
    <x v="28"/>
    <s v="P010"/>
    <x v="8"/>
    <x v="0"/>
    <n v="3"/>
    <n v="89.99"/>
    <s v="PayPal"/>
    <x v="0"/>
    <x v="1"/>
    <d v="2023-07-13T00:00:00"/>
    <x v="25"/>
  </r>
  <r>
    <s v="TRX0042"/>
    <d v="2024-05-20T00:00:00"/>
    <s v="CUST019"/>
    <x v="29"/>
    <s v="P004"/>
    <x v="7"/>
    <x v="1"/>
    <n v="1"/>
    <n v="79.989999999999995"/>
    <s v="Cash"/>
    <x v="2"/>
    <x v="2"/>
    <d v="2022-12-22T00:00:00"/>
    <x v="26"/>
  </r>
  <r>
    <s v="TRX0128"/>
    <d v="2024-05-21T00:00:00"/>
    <s v="CUST040"/>
    <x v="30"/>
    <s v="P005"/>
    <x v="1"/>
    <x v="1"/>
    <n v="2"/>
    <n v="59.99"/>
    <s v="Cash"/>
    <x v="3"/>
    <x v="0"/>
    <d v="2024-04-08T00:00:00"/>
    <x v="3"/>
  </r>
  <r>
    <s v="TRX0117"/>
    <d v="2024-05-22T00:00:00"/>
    <s v="CUST017"/>
    <x v="6"/>
    <s v="P010"/>
    <x v="8"/>
    <x v="0"/>
    <n v="1"/>
    <n v="89.99"/>
    <s v="Cash"/>
    <x v="2"/>
    <x v="0"/>
    <d v="2023-08-03T00:00:00"/>
    <x v="27"/>
  </r>
  <r>
    <s v="TRX0208"/>
    <d v="2024-05-23T00:00:00"/>
    <s v="CUST004"/>
    <x v="31"/>
    <s v="P010"/>
    <x v="8"/>
    <x v="0"/>
    <n v="5"/>
    <n v="89.99"/>
    <s v="Credit Card"/>
    <x v="4"/>
    <x v="2"/>
    <d v="2022-01-26T00:00:00"/>
    <x v="19"/>
  </r>
  <r>
    <s v="TRX0234"/>
    <d v="2024-05-24T00:00:00"/>
    <s v="CUST013"/>
    <x v="1"/>
    <s v="P009"/>
    <x v="0"/>
    <x v="0"/>
    <n v="5"/>
    <n v="249.99"/>
    <s v="Credit Card"/>
    <x v="4"/>
    <x v="2"/>
    <d v="2022-05-26T00:00:00"/>
    <x v="16"/>
  </r>
  <r>
    <s v="TRX0121"/>
    <d v="2024-05-25T00:00:00"/>
    <s v="CUST028"/>
    <x v="32"/>
    <s v="P010"/>
    <x v="8"/>
    <x v="0"/>
    <n v="1"/>
    <n v="89.99"/>
    <s v="Credit Card"/>
    <x v="1"/>
    <x v="2"/>
    <d v="2022-01-21T00:00:00"/>
    <x v="27"/>
  </r>
  <r>
    <s v="TRX0220"/>
    <d v="2024-05-26T00:00:00"/>
    <s v="CUST003"/>
    <x v="4"/>
    <s v="P008"/>
    <x v="2"/>
    <x v="2"/>
    <n v="2"/>
    <n v="149.99"/>
    <s v="Cash"/>
    <x v="4"/>
    <x v="1"/>
    <d v="2022-03-25T00:00:00"/>
    <x v="22"/>
  </r>
  <r>
    <s v="TRX0093"/>
    <d v="2024-05-27T00:00:00"/>
    <s v="CUST050"/>
    <x v="33"/>
    <s v="P005"/>
    <x v="1"/>
    <x v="1"/>
    <n v="4"/>
    <n v="59.99"/>
    <s v="Cash"/>
    <x v="4"/>
    <x v="2"/>
    <d v="2021-08-27T00:00:00"/>
    <x v="20"/>
  </r>
  <r>
    <s v="TRX0088"/>
    <d v="2024-05-28T00:00:00"/>
    <s v="CUST006"/>
    <x v="24"/>
    <s v="P010"/>
    <x v="8"/>
    <x v="0"/>
    <n v="5"/>
    <n v="89.99"/>
    <s v="Cash"/>
    <x v="0"/>
    <x v="1"/>
    <d v="2022-01-18T00:00:00"/>
    <x v="19"/>
  </r>
  <r>
    <s v="TRX0115"/>
    <d v="2024-05-29T00:00:00"/>
    <s v="CUST012"/>
    <x v="18"/>
    <s v="P010"/>
    <x v="8"/>
    <x v="0"/>
    <n v="2"/>
    <n v="89.99"/>
    <s v="Credit Card"/>
    <x v="1"/>
    <x v="1"/>
    <d v="2021-10-02T00:00:00"/>
    <x v="28"/>
  </r>
  <r>
    <s v="TRX0154"/>
    <d v="2024-05-30T00:00:00"/>
    <s v="CUST023"/>
    <x v="0"/>
    <s v="P001"/>
    <x v="4"/>
    <x v="0"/>
    <n v="5"/>
    <n v="899.99"/>
    <s v="Credit Card"/>
    <x v="1"/>
    <x v="2"/>
    <d v="2023-02-17T00:00:00"/>
    <x v="29"/>
  </r>
  <r>
    <s v="TRX0044"/>
    <d v="2024-05-31T00:00:00"/>
    <s v="CUST029"/>
    <x v="23"/>
    <s v="P001"/>
    <x v="4"/>
    <x v="0"/>
    <n v="5"/>
    <n v="899.99"/>
    <s v="PayPal"/>
    <x v="4"/>
    <x v="1"/>
    <d v="2023-12-18T00:00:00"/>
    <x v="29"/>
  </r>
  <r>
    <s v="TRX0061"/>
    <d v="2024-06-01T00:00:00"/>
    <s v="CUST028"/>
    <x v="32"/>
    <s v="P005"/>
    <x v="1"/>
    <x v="1"/>
    <n v="1"/>
    <n v="59.99"/>
    <s v="Debit Card"/>
    <x v="3"/>
    <x v="1"/>
    <d v="2023-09-21T00:00:00"/>
    <x v="30"/>
  </r>
  <r>
    <s v="TRX0150"/>
    <d v="2024-06-02T00:00:00"/>
    <s v="CUST008"/>
    <x v="27"/>
    <s v="P007"/>
    <x v="6"/>
    <x v="2"/>
    <n v="2"/>
    <n v="299.99"/>
    <s v="Debit Card"/>
    <x v="4"/>
    <x v="2"/>
    <d v="2023-11-23T00:00:00"/>
    <x v="31"/>
  </r>
  <r>
    <s v="TRX0025"/>
    <d v="2024-06-03T00:00:00"/>
    <s v="CUST049"/>
    <x v="34"/>
    <s v="P010"/>
    <x v="8"/>
    <x v="0"/>
    <n v="4"/>
    <n v="89.99"/>
    <s v="Debit Card"/>
    <x v="1"/>
    <x v="0"/>
    <d v="2023-12-21T00:00:00"/>
    <x v="32"/>
  </r>
  <r>
    <s v="TRX0078"/>
    <d v="2024-06-04T00:00:00"/>
    <s v="CUST021"/>
    <x v="2"/>
    <s v="P004"/>
    <x v="7"/>
    <x v="1"/>
    <n v="1"/>
    <n v="79.989999999999995"/>
    <s v="PayPal"/>
    <x v="0"/>
    <x v="1"/>
    <d v="2024-03-01T00:00:00"/>
    <x v="26"/>
  </r>
  <r>
    <s v="TRX0007"/>
    <d v="2024-06-05T00:00:00"/>
    <s v="CUST009"/>
    <x v="7"/>
    <s v="P010"/>
    <x v="8"/>
    <x v="0"/>
    <n v="2"/>
    <n v="89.99"/>
    <s v="Cash"/>
    <x v="3"/>
    <x v="0"/>
    <d v="2021-08-30T00:00:00"/>
    <x v="28"/>
  </r>
  <r>
    <s v="TRX0184"/>
    <d v="2024-06-06T00:00:00"/>
    <s v="CUST046"/>
    <x v="3"/>
    <s v="P002"/>
    <x v="5"/>
    <x v="0"/>
    <n v="3"/>
    <n v="699.99"/>
    <s v="Credit Card"/>
    <x v="4"/>
    <x v="1"/>
    <d v="2023-06-25T00:00:00"/>
    <x v="7"/>
  </r>
  <r>
    <s v="TRX0104"/>
    <d v="2024-06-07T00:00:00"/>
    <s v="CUST012"/>
    <x v="18"/>
    <s v="P001"/>
    <x v="4"/>
    <x v="0"/>
    <n v="4"/>
    <n v="899.99"/>
    <s v="Credit Card"/>
    <x v="4"/>
    <x v="1"/>
    <d v="2023-03-08T00:00:00"/>
    <x v="11"/>
  </r>
  <r>
    <s v="TRX0127"/>
    <d v="2024-06-08T00:00:00"/>
    <s v="CUST030"/>
    <x v="22"/>
    <s v="P008"/>
    <x v="2"/>
    <x v="2"/>
    <n v="1"/>
    <n v="149.99"/>
    <s v="PayPal"/>
    <x v="4"/>
    <x v="0"/>
    <d v="2022-10-17T00:00:00"/>
    <x v="5"/>
  </r>
  <r>
    <s v="TRX0096"/>
    <d v="2024-06-09T00:00:00"/>
    <s v="CUST002"/>
    <x v="25"/>
    <s v="P010"/>
    <x v="8"/>
    <x v="0"/>
    <n v="2"/>
    <n v="89.99"/>
    <s v="PayPal"/>
    <x v="0"/>
    <x v="1"/>
    <d v="2023-12-15T00:00:00"/>
    <x v="28"/>
  </r>
  <r>
    <s v="TRX0192"/>
    <d v="2024-06-10T00:00:00"/>
    <s v="CUST017"/>
    <x v="6"/>
    <s v="P010"/>
    <x v="8"/>
    <x v="0"/>
    <n v="1"/>
    <n v="89.99"/>
    <s v="PayPal"/>
    <x v="3"/>
    <x v="2"/>
    <d v="2022-08-29T00:00:00"/>
    <x v="27"/>
  </r>
  <r>
    <s v="TRX0052"/>
    <d v="2024-06-11T00:00:00"/>
    <s v="CUST022"/>
    <x v="9"/>
    <s v="P010"/>
    <x v="8"/>
    <x v="0"/>
    <n v="1"/>
    <n v="89.99"/>
    <s v="Cash"/>
    <x v="1"/>
    <x v="2"/>
    <d v="2022-02-19T00:00:00"/>
    <x v="27"/>
  </r>
  <r>
    <s v="TRX0070"/>
    <d v="2024-06-12T00:00:00"/>
    <s v="CUST007"/>
    <x v="35"/>
    <s v="P004"/>
    <x v="7"/>
    <x v="1"/>
    <n v="5"/>
    <n v="79.989999999999995"/>
    <s v="Debit Card"/>
    <x v="0"/>
    <x v="0"/>
    <d v="2023-02-24T00:00:00"/>
    <x v="33"/>
  </r>
  <r>
    <s v="TRX0086"/>
    <d v="2024-06-13T00:00:00"/>
    <s v="CUST020"/>
    <x v="36"/>
    <s v="P008"/>
    <x v="2"/>
    <x v="2"/>
    <n v="1"/>
    <n v="149.99"/>
    <s v="PayPal"/>
    <x v="2"/>
    <x v="0"/>
    <d v="2021-08-13T00:00:00"/>
    <x v="5"/>
  </r>
  <r>
    <s v="TRX0113"/>
    <d v="2024-06-14T00:00:00"/>
    <s v="CUST003"/>
    <x v="4"/>
    <s v="P002"/>
    <x v="5"/>
    <x v="0"/>
    <n v="2"/>
    <n v="699.99"/>
    <s v="PayPal"/>
    <x v="4"/>
    <x v="1"/>
    <d v="2024-04-07T00:00:00"/>
    <x v="10"/>
  </r>
  <r>
    <s v="TRX0114"/>
    <d v="2024-06-15T00:00:00"/>
    <s v="CUST018"/>
    <x v="17"/>
    <s v="P010"/>
    <x v="8"/>
    <x v="0"/>
    <n v="5"/>
    <n v="89.99"/>
    <s v="Debit Card"/>
    <x v="2"/>
    <x v="1"/>
    <d v="2023-08-23T00:00:00"/>
    <x v="19"/>
  </r>
  <r>
    <s v="TRX0136"/>
    <d v="2024-06-16T00:00:00"/>
    <s v="CUST049"/>
    <x v="34"/>
    <s v="P005"/>
    <x v="1"/>
    <x v="1"/>
    <n v="4"/>
    <n v="59.99"/>
    <s v="Cash"/>
    <x v="1"/>
    <x v="2"/>
    <d v="2021-11-09T00:00:00"/>
    <x v="20"/>
  </r>
  <r>
    <s v="TRX0018"/>
    <d v="2024-06-17T00:00:00"/>
    <s v="CUST013"/>
    <x v="1"/>
    <s v="P003"/>
    <x v="3"/>
    <x v="0"/>
    <n v="1"/>
    <n v="149.99"/>
    <s v="Cash"/>
    <x v="0"/>
    <x v="2"/>
    <d v="2022-12-14T00:00:00"/>
    <x v="5"/>
  </r>
  <r>
    <s v="TRX0141"/>
    <d v="2024-06-18T00:00:00"/>
    <s v="CUST033"/>
    <x v="37"/>
    <s v="P007"/>
    <x v="6"/>
    <x v="2"/>
    <n v="1"/>
    <n v="299.99"/>
    <s v="Credit Card"/>
    <x v="2"/>
    <x v="1"/>
    <d v="2022-11-26T00:00:00"/>
    <x v="34"/>
  </r>
  <r>
    <s v="TRX0097"/>
    <d v="2024-06-19T00:00:00"/>
    <s v="CUST033"/>
    <x v="37"/>
    <s v="P006"/>
    <x v="9"/>
    <x v="2"/>
    <n v="2"/>
    <n v="199.99"/>
    <s v="Cash"/>
    <x v="2"/>
    <x v="0"/>
    <d v="2021-12-11T00:00:00"/>
    <x v="35"/>
  </r>
  <r>
    <s v="TRX0169"/>
    <d v="2024-06-20T00:00:00"/>
    <s v="CUST047"/>
    <x v="38"/>
    <s v="P005"/>
    <x v="1"/>
    <x v="1"/>
    <n v="3"/>
    <n v="59.99"/>
    <s v="Credit Card"/>
    <x v="3"/>
    <x v="0"/>
    <d v="2023-07-23T00:00:00"/>
    <x v="1"/>
  </r>
  <r>
    <s v="TRX0216"/>
    <d v="2024-06-21T00:00:00"/>
    <s v="CUST041"/>
    <x v="10"/>
    <s v="P008"/>
    <x v="2"/>
    <x v="2"/>
    <n v="3"/>
    <n v="149.99"/>
    <s v="Cash"/>
    <x v="0"/>
    <x v="1"/>
    <d v="2023-09-30T00:00:00"/>
    <x v="6"/>
  </r>
  <r>
    <s v="TRX0131"/>
    <d v="2024-06-22T00:00:00"/>
    <s v="CUST026"/>
    <x v="8"/>
    <s v="P006"/>
    <x v="9"/>
    <x v="2"/>
    <n v="3"/>
    <n v="199.99"/>
    <s v="Cash"/>
    <x v="2"/>
    <x v="1"/>
    <d v="2023-11-24T00:00:00"/>
    <x v="24"/>
  </r>
  <r>
    <s v="TRX0162"/>
    <d v="2024-06-23T00:00:00"/>
    <s v="CUST040"/>
    <x v="30"/>
    <s v="P001"/>
    <x v="4"/>
    <x v="0"/>
    <n v="1"/>
    <n v="899.99"/>
    <s v="Cash"/>
    <x v="0"/>
    <x v="2"/>
    <d v="2023-09-10T00:00:00"/>
    <x v="8"/>
  </r>
  <r>
    <s v="TRX0244"/>
    <d v="2024-06-24T00:00:00"/>
    <s v="CUST013"/>
    <x v="1"/>
    <s v="P001"/>
    <x v="4"/>
    <x v="0"/>
    <n v="5"/>
    <n v="899.99"/>
    <s v="Debit Card"/>
    <x v="1"/>
    <x v="2"/>
    <d v="2022-12-04T00:00:00"/>
    <x v="29"/>
  </r>
  <r>
    <s v="TRX0006"/>
    <d v="2024-06-25T00:00:00"/>
    <s v="CUST007"/>
    <x v="35"/>
    <s v="P005"/>
    <x v="1"/>
    <x v="1"/>
    <n v="2"/>
    <n v="59.99"/>
    <s v="Cash"/>
    <x v="2"/>
    <x v="2"/>
    <d v="2023-08-14T00:00:00"/>
    <x v="3"/>
  </r>
  <r>
    <s v="TRX0215"/>
    <d v="2024-06-26T00:00:00"/>
    <s v="CUST047"/>
    <x v="38"/>
    <s v="P009"/>
    <x v="0"/>
    <x v="0"/>
    <n v="4"/>
    <n v="249.99"/>
    <s v="Debit Card"/>
    <x v="0"/>
    <x v="2"/>
    <d v="2023-07-20T00:00:00"/>
    <x v="14"/>
  </r>
  <r>
    <s v="TRX0080"/>
    <d v="2024-06-27T00:00:00"/>
    <s v="CUST018"/>
    <x v="17"/>
    <s v="P009"/>
    <x v="0"/>
    <x v="0"/>
    <n v="2"/>
    <n v="249.99"/>
    <s v="Cash"/>
    <x v="2"/>
    <x v="1"/>
    <d v="2023-08-26T00:00:00"/>
    <x v="36"/>
  </r>
  <r>
    <s v="TRX0228"/>
    <d v="2024-06-28T00:00:00"/>
    <s v="CUST019"/>
    <x v="29"/>
    <s v="P007"/>
    <x v="6"/>
    <x v="2"/>
    <n v="1"/>
    <n v="299.99"/>
    <s v="Cash"/>
    <x v="1"/>
    <x v="0"/>
    <d v="2023-02-25T00:00:00"/>
    <x v="34"/>
  </r>
  <r>
    <s v="TRX0157"/>
    <d v="2024-06-29T00:00:00"/>
    <s v="CUST025"/>
    <x v="14"/>
    <s v="P010"/>
    <x v="8"/>
    <x v="0"/>
    <n v="2"/>
    <n v="89.99"/>
    <s v="PayPal"/>
    <x v="1"/>
    <x v="0"/>
    <d v="2023-02-19T00:00:00"/>
    <x v="28"/>
  </r>
  <r>
    <s v="TRX0002"/>
    <d v="2024-06-30T00:00:00"/>
    <s v="CUST019"/>
    <x v="29"/>
    <s v="P007"/>
    <x v="6"/>
    <x v="2"/>
    <n v="3"/>
    <n v="299.99"/>
    <s v="Cash"/>
    <x v="0"/>
    <x v="0"/>
    <d v="2022-06-20T00:00:00"/>
    <x v="23"/>
  </r>
  <r>
    <s v="TRX0217"/>
    <d v="2024-07-01T00:00:00"/>
    <s v="CUST025"/>
    <x v="14"/>
    <s v="P002"/>
    <x v="5"/>
    <x v="0"/>
    <n v="2"/>
    <n v="699.99"/>
    <s v="Credit Card"/>
    <x v="2"/>
    <x v="1"/>
    <d v="2023-03-14T00:00:00"/>
    <x v="10"/>
  </r>
  <r>
    <s v="TRX0249"/>
    <d v="2024-07-02T00:00:00"/>
    <s v="CUST030"/>
    <x v="22"/>
    <s v="P001"/>
    <x v="4"/>
    <x v="0"/>
    <n v="4"/>
    <n v="899.99"/>
    <s v="Debit Card"/>
    <x v="1"/>
    <x v="2"/>
    <d v="2021-11-23T00:00:00"/>
    <x v="11"/>
  </r>
  <r>
    <s v="TRX0065"/>
    <d v="2024-07-03T00:00:00"/>
    <s v="CUST016"/>
    <x v="39"/>
    <s v="P008"/>
    <x v="2"/>
    <x v="2"/>
    <n v="2"/>
    <n v="149.99"/>
    <s v="Credit Card"/>
    <x v="3"/>
    <x v="0"/>
    <d v="2021-12-12T00:00:00"/>
    <x v="22"/>
  </r>
  <r>
    <s v="TRX0176"/>
    <d v="2024-07-04T00:00:00"/>
    <s v="CUST044"/>
    <x v="19"/>
    <s v="P008"/>
    <x v="2"/>
    <x v="2"/>
    <n v="2"/>
    <n v="149.99"/>
    <s v="Debit Card"/>
    <x v="4"/>
    <x v="2"/>
    <d v="2022-04-16T00:00:00"/>
    <x v="22"/>
  </r>
  <r>
    <s v="TRX0101"/>
    <d v="2024-07-05T00:00:00"/>
    <s v="CUST010"/>
    <x v="15"/>
    <s v="P010"/>
    <x v="8"/>
    <x v="0"/>
    <n v="1"/>
    <n v="89.99"/>
    <s v="Credit Card"/>
    <x v="2"/>
    <x v="2"/>
    <d v="2024-04-11T00:00:00"/>
    <x v="27"/>
  </r>
  <r>
    <s v="TRX0205"/>
    <d v="2024-07-06T00:00:00"/>
    <s v="CUST025"/>
    <x v="14"/>
    <s v="P007"/>
    <x v="6"/>
    <x v="2"/>
    <n v="5"/>
    <n v="299.99"/>
    <s v="Credit Card"/>
    <x v="2"/>
    <x v="0"/>
    <d v="2023-02-08T00:00:00"/>
    <x v="17"/>
  </r>
  <r>
    <s v="TRX0020"/>
    <d v="2024-07-07T00:00:00"/>
    <s v="CUST007"/>
    <x v="35"/>
    <s v="P003"/>
    <x v="3"/>
    <x v="0"/>
    <n v="4"/>
    <n v="149.99"/>
    <s v="Debit Card"/>
    <x v="1"/>
    <x v="1"/>
    <d v="2022-09-16T00:00:00"/>
    <x v="9"/>
  </r>
  <r>
    <s v="TRX0075"/>
    <d v="2024-07-08T00:00:00"/>
    <s v="CUST020"/>
    <x v="36"/>
    <s v="P009"/>
    <x v="0"/>
    <x v="0"/>
    <n v="5"/>
    <n v="249.99"/>
    <s v="PayPal"/>
    <x v="4"/>
    <x v="1"/>
    <d v="2022-08-09T00:00:00"/>
    <x v="16"/>
  </r>
  <r>
    <s v="TRX0098"/>
    <d v="2024-07-09T00:00:00"/>
    <s v="CUST026"/>
    <x v="8"/>
    <s v="P009"/>
    <x v="0"/>
    <x v="0"/>
    <n v="3"/>
    <n v="249.99"/>
    <s v="PayPal"/>
    <x v="2"/>
    <x v="1"/>
    <d v="2021-09-26T00:00:00"/>
    <x v="0"/>
  </r>
  <r>
    <s v="TRX0247"/>
    <d v="2024-07-10T00:00:00"/>
    <s v="CUST046"/>
    <x v="3"/>
    <s v="P006"/>
    <x v="9"/>
    <x v="2"/>
    <n v="4"/>
    <n v="199.99"/>
    <s v="Cash"/>
    <x v="2"/>
    <x v="2"/>
    <d v="2021-09-19T00:00:00"/>
    <x v="37"/>
  </r>
  <r>
    <s v="TRX0027"/>
    <d v="2024-07-11T00:00:00"/>
    <s v="CUST028"/>
    <x v="32"/>
    <s v="P006"/>
    <x v="9"/>
    <x v="2"/>
    <n v="5"/>
    <n v="199.99"/>
    <s v="Cash"/>
    <x v="2"/>
    <x v="1"/>
    <d v="2023-03-06T00:00:00"/>
    <x v="21"/>
  </r>
  <r>
    <s v="TRX0140"/>
    <d v="2024-07-12T00:00:00"/>
    <s v="CUST025"/>
    <x v="14"/>
    <s v="P010"/>
    <x v="8"/>
    <x v="0"/>
    <n v="2"/>
    <n v="89.99"/>
    <s v="Cash"/>
    <x v="4"/>
    <x v="1"/>
    <d v="2023-02-15T00:00:00"/>
    <x v="28"/>
  </r>
  <r>
    <s v="TRX0132"/>
    <d v="2024-07-13T00:00:00"/>
    <s v="CUST047"/>
    <x v="38"/>
    <s v="P001"/>
    <x v="4"/>
    <x v="0"/>
    <n v="5"/>
    <n v="899.99"/>
    <s v="Debit Card"/>
    <x v="4"/>
    <x v="0"/>
    <d v="2021-11-26T00:00:00"/>
    <x v="29"/>
  </r>
  <r>
    <s v="TRX0031"/>
    <d v="2024-07-14T00:00:00"/>
    <s v="CUST036"/>
    <x v="20"/>
    <s v="P003"/>
    <x v="3"/>
    <x v="0"/>
    <n v="3"/>
    <n v="149.99"/>
    <s v="PayPal"/>
    <x v="4"/>
    <x v="0"/>
    <d v="2022-01-13T00:00:00"/>
    <x v="6"/>
  </r>
  <r>
    <s v="TRX0236"/>
    <d v="2024-07-15T00:00:00"/>
    <s v="CUST044"/>
    <x v="19"/>
    <s v="P008"/>
    <x v="2"/>
    <x v="2"/>
    <n v="5"/>
    <n v="149.99"/>
    <s v="Credit Card"/>
    <x v="0"/>
    <x v="0"/>
    <d v="2024-01-19T00:00:00"/>
    <x v="2"/>
  </r>
  <r>
    <s v="TRX0001"/>
    <d v="2024-07-16T00:00:00"/>
    <s v="CUST039"/>
    <x v="40"/>
    <s v="P004"/>
    <x v="7"/>
    <x v="1"/>
    <n v="3"/>
    <n v="79.989999999999995"/>
    <s v="Cash"/>
    <x v="0"/>
    <x v="1"/>
    <d v="2022-08-06T00:00:00"/>
    <x v="18"/>
  </r>
  <r>
    <s v="TRX0037"/>
    <d v="2024-07-17T00:00:00"/>
    <s v="CUST035"/>
    <x v="28"/>
    <s v="P009"/>
    <x v="0"/>
    <x v="0"/>
    <n v="2"/>
    <n v="249.99"/>
    <s v="Cash"/>
    <x v="1"/>
    <x v="2"/>
    <d v="2022-01-11T00:00:00"/>
    <x v="36"/>
  </r>
  <r>
    <s v="TRX0058"/>
    <d v="2024-07-18T00:00:00"/>
    <s v="CUST047"/>
    <x v="38"/>
    <s v="P002"/>
    <x v="5"/>
    <x v="0"/>
    <n v="1"/>
    <n v="699.99"/>
    <s v="Cash"/>
    <x v="0"/>
    <x v="1"/>
    <d v="2021-10-28T00:00:00"/>
    <x v="38"/>
  </r>
  <r>
    <s v="TRX0170"/>
    <d v="2024-07-19T00:00:00"/>
    <s v="CUST034"/>
    <x v="41"/>
    <s v="P003"/>
    <x v="3"/>
    <x v="0"/>
    <n v="3"/>
    <n v="149.99"/>
    <s v="Cash"/>
    <x v="3"/>
    <x v="1"/>
    <d v="2023-10-13T00:00:00"/>
    <x v="6"/>
  </r>
  <r>
    <s v="TRX0248"/>
    <d v="2024-07-20T00:00:00"/>
    <s v="CUST032"/>
    <x v="42"/>
    <s v="P002"/>
    <x v="5"/>
    <x v="0"/>
    <n v="2"/>
    <n v="699.99"/>
    <s v="Credit Card"/>
    <x v="2"/>
    <x v="1"/>
    <d v="2021-08-13T00:00:00"/>
    <x v="10"/>
  </r>
  <r>
    <s v="TRX0099"/>
    <d v="2024-07-21T00:00:00"/>
    <s v="CUST034"/>
    <x v="41"/>
    <s v="P009"/>
    <x v="0"/>
    <x v="0"/>
    <n v="1"/>
    <n v="249.99"/>
    <s v="Credit Card"/>
    <x v="3"/>
    <x v="1"/>
    <d v="2022-05-04T00:00:00"/>
    <x v="39"/>
  </r>
  <r>
    <s v="TRX0074"/>
    <d v="2024-07-22T00:00:00"/>
    <s v="CUST023"/>
    <x v="0"/>
    <s v="P009"/>
    <x v="0"/>
    <x v="0"/>
    <n v="1"/>
    <n v="249.99"/>
    <s v="Debit Card"/>
    <x v="2"/>
    <x v="1"/>
    <d v="2024-02-10T00:00:00"/>
    <x v="39"/>
  </r>
  <r>
    <s v="TRX0225"/>
    <d v="2024-07-23T00:00:00"/>
    <s v="CUST039"/>
    <x v="40"/>
    <s v="P002"/>
    <x v="5"/>
    <x v="0"/>
    <n v="2"/>
    <n v="699.99"/>
    <s v="Debit Card"/>
    <x v="0"/>
    <x v="1"/>
    <d v="2022-11-05T00:00:00"/>
    <x v="10"/>
  </r>
  <r>
    <s v="TRX0100"/>
    <d v="2024-07-24T00:00:00"/>
    <s v="CUST031"/>
    <x v="26"/>
    <s v="P005"/>
    <x v="1"/>
    <x v="1"/>
    <n v="3"/>
    <n v="59.99"/>
    <s v="Credit Card"/>
    <x v="0"/>
    <x v="1"/>
    <d v="2022-06-05T00:00:00"/>
    <x v="1"/>
  </r>
  <r>
    <s v="TRX0142"/>
    <d v="2024-07-25T00:00:00"/>
    <s v="CUST002"/>
    <x v="25"/>
    <s v="P005"/>
    <x v="1"/>
    <x v="1"/>
    <n v="3"/>
    <n v="59.99"/>
    <s v="PayPal"/>
    <x v="4"/>
    <x v="2"/>
    <d v="2022-07-06T00:00:00"/>
    <x v="1"/>
  </r>
  <r>
    <s v="TRX0112"/>
    <d v="2024-07-26T00:00:00"/>
    <s v="CUST008"/>
    <x v="27"/>
    <s v="P004"/>
    <x v="7"/>
    <x v="1"/>
    <n v="4"/>
    <n v="79.989999999999995"/>
    <s v="Cash"/>
    <x v="2"/>
    <x v="0"/>
    <d v="2021-11-30T00:00:00"/>
    <x v="40"/>
  </r>
  <r>
    <s v="TRX0161"/>
    <d v="2024-07-27T00:00:00"/>
    <s v="CUST017"/>
    <x v="6"/>
    <s v="P004"/>
    <x v="7"/>
    <x v="1"/>
    <n v="1"/>
    <n v="79.989999999999995"/>
    <s v="Cash"/>
    <x v="3"/>
    <x v="0"/>
    <d v="2022-05-12T00:00:00"/>
    <x v="26"/>
  </r>
  <r>
    <s v="TRX0108"/>
    <d v="2024-07-28T00:00:00"/>
    <s v="CUST024"/>
    <x v="5"/>
    <s v="P007"/>
    <x v="6"/>
    <x v="2"/>
    <n v="3"/>
    <n v="299.99"/>
    <s v="Credit Card"/>
    <x v="0"/>
    <x v="1"/>
    <d v="2021-10-25T00:00:00"/>
    <x v="23"/>
  </r>
  <r>
    <s v="TRX0211"/>
    <d v="2024-07-29T00:00:00"/>
    <s v="CUST046"/>
    <x v="3"/>
    <s v="P010"/>
    <x v="8"/>
    <x v="0"/>
    <n v="2"/>
    <n v="89.99"/>
    <s v="Credit Card"/>
    <x v="1"/>
    <x v="1"/>
    <d v="2022-03-21T00:00:00"/>
    <x v="28"/>
  </r>
  <r>
    <s v="TRX0005"/>
    <d v="2024-07-30T00:00:00"/>
    <s v="CUST042"/>
    <x v="43"/>
    <s v="P003"/>
    <x v="3"/>
    <x v="0"/>
    <n v="4"/>
    <n v="149.99"/>
    <s v="Cash"/>
    <x v="2"/>
    <x v="0"/>
    <d v="2022-12-14T00:00:00"/>
    <x v="9"/>
  </r>
  <r>
    <s v="TRX0195"/>
    <d v="2024-07-31T00:00:00"/>
    <s v="CUST026"/>
    <x v="8"/>
    <s v="P009"/>
    <x v="0"/>
    <x v="0"/>
    <n v="2"/>
    <n v="249.99"/>
    <s v="PayPal"/>
    <x v="1"/>
    <x v="0"/>
    <d v="2023-03-08T00:00:00"/>
    <x v="36"/>
  </r>
  <r>
    <s v="TRX0054"/>
    <d v="2024-08-01T00:00:00"/>
    <s v="CUST004"/>
    <x v="31"/>
    <s v="P006"/>
    <x v="9"/>
    <x v="2"/>
    <n v="4"/>
    <n v="199.99"/>
    <s v="Debit Card"/>
    <x v="4"/>
    <x v="0"/>
    <d v="2021-09-19T00:00:00"/>
    <x v="37"/>
  </r>
  <r>
    <s v="TRX0077"/>
    <d v="2024-08-02T00:00:00"/>
    <s v="CUST019"/>
    <x v="29"/>
    <s v="P010"/>
    <x v="8"/>
    <x v="0"/>
    <n v="5"/>
    <n v="89.99"/>
    <s v="Credit Card"/>
    <x v="4"/>
    <x v="1"/>
    <d v="2021-09-07T00:00:00"/>
    <x v="19"/>
  </r>
  <r>
    <s v="TRX0111"/>
    <d v="2024-08-03T00:00:00"/>
    <s v="CUST011"/>
    <x v="44"/>
    <s v="P003"/>
    <x v="3"/>
    <x v="0"/>
    <n v="1"/>
    <n v="149.99"/>
    <s v="PayPal"/>
    <x v="4"/>
    <x v="2"/>
    <d v="2021-10-13T00:00:00"/>
    <x v="5"/>
  </r>
  <r>
    <s v="TRX0123"/>
    <d v="2024-08-04T00:00:00"/>
    <s v="CUST041"/>
    <x v="10"/>
    <s v="P002"/>
    <x v="5"/>
    <x v="0"/>
    <n v="4"/>
    <n v="699.99"/>
    <s v="PayPal"/>
    <x v="1"/>
    <x v="0"/>
    <d v="2022-02-26T00:00:00"/>
    <x v="13"/>
  </r>
  <r>
    <s v="TRX0177"/>
    <d v="2024-08-05T00:00:00"/>
    <s v="CUST032"/>
    <x v="42"/>
    <s v="P001"/>
    <x v="4"/>
    <x v="0"/>
    <n v="3"/>
    <n v="899.99"/>
    <s v="Credit Card"/>
    <x v="2"/>
    <x v="2"/>
    <d v="2023-08-19T00:00:00"/>
    <x v="4"/>
  </r>
  <r>
    <s v="TRX0119"/>
    <d v="2024-08-06T00:00:00"/>
    <s v="CUST014"/>
    <x v="21"/>
    <s v="P008"/>
    <x v="2"/>
    <x v="2"/>
    <n v="3"/>
    <n v="149.99"/>
    <s v="PayPal"/>
    <x v="4"/>
    <x v="0"/>
    <d v="2022-11-21T00:00:00"/>
    <x v="6"/>
  </r>
  <r>
    <s v="TRX0181"/>
    <d v="2024-08-07T00:00:00"/>
    <s v="CUST012"/>
    <x v="18"/>
    <s v="P007"/>
    <x v="6"/>
    <x v="2"/>
    <n v="2"/>
    <n v="299.99"/>
    <s v="Debit Card"/>
    <x v="0"/>
    <x v="0"/>
    <d v="2022-01-08T00:00:00"/>
    <x v="31"/>
  </r>
  <r>
    <s v="TRX0129"/>
    <d v="2024-08-08T00:00:00"/>
    <s v="CUST015"/>
    <x v="45"/>
    <s v="P006"/>
    <x v="9"/>
    <x v="2"/>
    <n v="1"/>
    <n v="199.99"/>
    <s v="Debit Card"/>
    <x v="4"/>
    <x v="2"/>
    <d v="2023-01-27T00:00:00"/>
    <x v="41"/>
  </r>
  <r>
    <s v="TRX0174"/>
    <d v="2024-08-09T00:00:00"/>
    <s v="CUST003"/>
    <x v="4"/>
    <s v="P007"/>
    <x v="6"/>
    <x v="2"/>
    <n v="4"/>
    <n v="299.99"/>
    <s v="Cash"/>
    <x v="0"/>
    <x v="1"/>
    <d v="2021-09-21T00:00:00"/>
    <x v="15"/>
  </r>
  <r>
    <s v="TRX0146"/>
    <d v="2024-08-10T00:00:00"/>
    <s v="CUST010"/>
    <x v="15"/>
    <s v="P005"/>
    <x v="1"/>
    <x v="1"/>
    <n v="2"/>
    <n v="59.99"/>
    <s v="Credit Card"/>
    <x v="0"/>
    <x v="0"/>
    <d v="2022-01-18T00:00:00"/>
    <x v="3"/>
  </r>
  <r>
    <s v="TRX0203"/>
    <d v="2024-08-11T00:00:00"/>
    <s v="CUST032"/>
    <x v="42"/>
    <s v="P003"/>
    <x v="3"/>
    <x v="0"/>
    <n v="4"/>
    <n v="149.99"/>
    <s v="Credit Card"/>
    <x v="2"/>
    <x v="1"/>
    <d v="2023-05-30T00:00:00"/>
    <x v="9"/>
  </r>
  <r>
    <s v="TRX0055"/>
    <d v="2024-08-12T00:00:00"/>
    <s v="CUST016"/>
    <x v="39"/>
    <s v="P002"/>
    <x v="5"/>
    <x v="0"/>
    <n v="2"/>
    <n v="699.99"/>
    <s v="Debit Card"/>
    <x v="4"/>
    <x v="1"/>
    <d v="2023-12-14T00:00:00"/>
    <x v="10"/>
  </r>
  <r>
    <s v="TRX0218"/>
    <d v="2024-08-13T00:00:00"/>
    <s v="CUST034"/>
    <x v="41"/>
    <s v="P008"/>
    <x v="2"/>
    <x v="2"/>
    <n v="3"/>
    <n v="149.99"/>
    <s v="Credit Card"/>
    <x v="1"/>
    <x v="2"/>
    <d v="2023-01-14T00:00:00"/>
    <x v="6"/>
  </r>
  <r>
    <s v="TRX0085"/>
    <d v="2024-08-14T00:00:00"/>
    <s v="CUST019"/>
    <x v="29"/>
    <s v="P007"/>
    <x v="6"/>
    <x v="2"/>
    <n v="3"/>
    <n v="299.99"/>
    <s v="Credit Card"/>
    <x v="0"/>
    <x v="2"/>
    <d v="2023-09-05T00:00:00"/>
    <x v="23"/>
  </r>
  <r>
    <s v="TRX0158"/>
    <d v="2024-08-15T00:00:00"/>
    <s v="CUST027"/>
    <x v="13"/>
    <s v="P001"/>
    <x v="4"/>
    <x v="0"/>
    <n v="3"/>
    <n v="899.99"/>
    <s v="PayPal"/>
    <x v="3"/>
    <x v="0"/>
    <d v="2023-10-16T00:00:00"/>
    <x v="4"/>
  </r>
  <r>
    <s v="TRX0173"/>
    <d v="2024-08-16T00:00:00"/>
    <s v="CUST018"/>
    <x v="17"/>
    <s v="P002"/>
    <x v="5"/>
    <x v="0"/>
    <n v="5"/>
    <n v="699.99"/>
    <s v="Cash"/>
    <x v="4"/>
    <x v="2"/>
    <d v="2023-03-23T00:00:00"/>
    <x v="12"/>
  </r>
  <r>
    <s v="TRX0034"/>
    <d v="2024-08-17T00:00:00"/>
    <s v="CUST049"/>
    <x v="34"/>
    <s v="P002"/>
    <x v="5"/>
    <x v="0"/>
    <n v="4"/>
    <n v="699.99"/>
    <s v="Credit Card"/>
    <x v="0"/>
    <x v="0"/>
    <d v="2024-04-03T00:00:00"/>
    <x v="13"/>
  </r>
  <r>
    <s v="TRX0189"/>
    <d v="2024-08-18T00:00:00"/>
    <s v="CUST040"/>
    <x v="30"/>
    <s v="P001"/>
    <x v="4"/>
    <x v="0"/>
    <n v="1"/>
    <n v="899.99"/>
    <s v="Credit Card"/>
    <x v="4"/>
    <x v="2"/>
    <d v="2024-03-18T00:00:00"/>
    <x v="8"/>
  </r>
  <r>
    <s v="TRX0190"/>
    <d v="2024-08-19T00:00:00"/>
    <s v="CUST039"/>
    <x v="40"/>
    <s v="P003"/>
    <x v="3"/>
    <x v="0"/>
    <n v="2"/>
    <n v="149.99"/>
    <s v="Credit Card"/>
    <x v="3"/>
    <x v="0"/>
    <d v="2022-12-21T00:00:00"/>
    <x v="22"/>
  </r>
  <r>
    <s v="TRX0079"/>
    <d v="2024-08-20T00:00:00"/>
    <s v="CUST039"/>
    <x v="40"/>
    <s v="P010"/>
    <x v="8"/>
    <x v="0"/>
    <n v="3"/>
    <n v="89.99"/>
    <s v="PayPal"/>
    <x v="0"/>
    <x v="0"/>
    <d v="2021-12-21T00:00:00"/>
    <x v="25"/>
  </r>
  <r>
    <s v="TRX0095"/>
    <d v="2024-08-21T00:00:00"/>
    <s v="CUST046"/>
    <x v="3"/>
    <s v="P003"/>
    <x v="3"/>
    <x v="0"/>
    <n v="2"/>
    <n v="149.99"/>
    <s v="PayPal"/>
    <x v="0"/>
    <x v="0"/>
    <d v="2021-10-04T00:00:00"/>
    <x v="22"/>
  </r>
  <r>
    <s v="TRX0009"/>
    <d v="2024-08-22T00:00:00"/>
    <s v="CUST004"/>
    <x v="31"/>
    <s v="P002"/>
    <x v="5"/>
    <x v="0"/>
    <n v="2"/>
    <n v="699.99"/>
    <s v="Cash"/>
    <x v="0"/>
    <x v="0"/>
    <d v="2023-03-07T00:00:00"/>
    <x v="10"/>
  </r>
  <r>
    <s v="TRX0167"/>
    <d v="2024-08-23T00:00:00"/>
    <s v="CUST028"/>
    <x v="32"/>
    <s v="P002"/>
    <x v="5"/>
    <x v="0"/>
    <n v="5"/>
    <n v="699.99"/>
    <s v="Cash"/>
    <x v="2"/>
    <x v="1"/>
    <d v="2022-03-15T00:00:00"/>
    <x v="12"/>
  </r>
  <r>
    <s v="TRX0153"/>
    <d v="2024-08-24T00:00:00"/>
    <s v="CUST049"/>
    <x v="34"/>
    <s v="P010"/>
    <x v="8"/>
    <x v="0"/>
    <n v="3"/>
    <n v="89.99"/>
    <s v="Credit Card"/>
    <x v="2"/>
    <x v="2"/>
    <d v="2022-02-23T00:00:00"/>
    <x v="25"/>
  </r>
  <r>
    <s v="TRX0057"/>
    <d v="2024-08-25T00:00:00"/>
    <s v="CUST023"/>
    <x v="0"/>
    <s v="P009"/>
    <x v="0"/>
    <x v="0"/>
    <n v="5"/>
    <n v="249.99"/>
    <s v="Credit Card"/>
    <x v="1"/>
    <x v="2"/>
    <d v="2022-11-16T00:00:00"/>
    <x v="16"/>
  </r>
  <r>
    <s v="TRX0017"/>
    <d v="2024-08-26T00:00:00"/>
    <s v="CUST026"/>
    <x v="8"/>
    <s v="P007"/>
    <x v="6"/>
    <x v="2"/>
    <n v="3"/>
    <n v="299.99"/>
    <s v="Credit Card"/>
    <x v="1"/>
    <x v="2"/>
    <d v="2021-11-02T00:00:00"/>
    <x v="23"/>
  </r>
  <r>
    <s v="TRX0060"/>
    <d v="2024-08-27T00:00:00"/>
    <s v="CUST012"/>
    <x v="18"/>
    <s v="P010"/>
    <x v="8"/>
    <x v="0"/>
    <n v="3"/>
    <n v="89.99"/>
    <s v="Credit Card"/>
    <x v="2"/>
    <x v="1"/>
    <d v="2021-08-12T00:00:00"/>
    <x v="25"/>
  </r>
  <r>
    <s v="TRX0109"/>
    <d v="2024-08-28T00:00:00"/>
    <s v="CUST010"/>
    <x v="15"/>
    <s v="P008"/>
    <x v="2"/>
    <x v="2"/>
    <n v="2"/>
    <n v="149.99"/>
    <s v="Credit Card"/>
    <x v="3"/>
    <x v="1"/>
    <d v="2022-10-14T00:00:00"/>
    <x v="22"/>
  </r>
  <r>
    <s v="TRX0090"/>
    <d v="2024-08-29T00:00:00"/>
    <s v="CUST020"/>
    <x v="36"/>
    <s v="P009"/>
    <x v="0"/>
    <x v="0"/>
    <n v="1"/>
    <n v="249.99"/>
    <s v="Credit Card"/>
    <x v="2"/>
    <x v="1"/>
    <d v="2022-09-24T00:00:00"/>
    <x v="39"/>
  </r>
  <r>
    <s v="TRX0035"/>
    <d v="2024-08-30T00:00:00"/>
    <s v="CUST041"/>
    <x v="10"/>
    <s v="P003"/>
    <x v="3"/>
    <x v="0"/>
    <n v="3"/>
    <n v="149.99"/>
    <s v="Cash"/>
    <x v="2"/>
    <x v="0"/>
    <d v="2022-07-27T00:00:00"/>
    <x v="6"/>
  </r>
  <r>
    <s v="TRX0172"/>
    <d v="2024-08-31T00:00:00"/>
    <s v="CUST023"/>
    <x v="0"/>
    <s v="P005"/>
    <x v="1"/>
    <x v="1"/>
    <n v="5"/>
    <n v="59.99"/>
    <s v="PayPal"/>
    <x v="3"/>
    <x v="1"/>
    <d v="2022-05-13T00:00:00"/>
    <x v="42"/>
  </r>
  <r>
    <s v="TRX0076"/>
    <d v="2024-09-01T00:00:00"/>
    <s v="CUST012"/>
    <x v="18"/>
    <s v="P009"/>
    <x v="0"/>
    <x v="0"/>
    <n v="4"/>
    <n v="249.99"/>
    <s v="Credit Card"/>
    <x v="3"/>
    <x v="2"/>
    <d v="2022-04-08T00:00:00"/>
    <x v="14"/>
  </r>
  <r>
    <s v="TRX0210"/>
    <d v="2024-09-02T00:00:00"/>
    <s v="CUST004"/>
    <x v="31"/>
    <s v="P008"/>
    <x v="2"/>
    <x v="2"/>
    <n v="5"/>
    <n v="149.99"/>
    <s v="PayPal"/>
    <x v="0"/>
    <x v="0"/>
    <d v="2022-12-06T00:00:00"/>
    <x v="2"/>
  </r>
  <r>
    <s v="TRX0149"/>
    <d v="2024-09-03T00:00:00"/>
    <s v="CUST027"/>
    <x v="13"/>
    <s v="P005"/>
    <x v="1"/>
    <x v="1"/>
    <n v="3"/>
    <n v="59.99"/>
    <s v="Debit Card"/>
    <x v="1"/>
    <x v="2"/>
    <d v="2023-11-30T00:00:00"/>
    <x v="1"/>
  </r>
  <r>
    <s v="TRX0073"/>
    <d v="2024-09-04T00:00:00"/>
    <s v="CUST032"/>
    <x v="42"/>
    <s v="P008"/>
    <x v="2"/>
    <x v="2"/>
    <n v="5"/>
    <n v="149.99"/>
    <s v="Cash"/>
    <x v="2"/>
    <x v="0"/>
    <d v="2022-11-04T00:00:00"/>
    <x v="2"/>
  </r>
  <r>
    <s v="TRX0033"/>
    <d v="2024-09-05T00:00:00"/>
    <s v="CUST025"/>
    <x v="14"/>
    <s v="P002"/>
    <x v="5"/>
    <x v="0"/>
    <n v="2"/>
    <n v="699.99"/>
    <s v="PayPal"/>
    <x v="3"/>
    <x v="2"/>
    <d v="2022-07-28T00:00:00"/>
    <x v="10"/>
  </r>
  <r>
    <s v="TRX0160"/>
    <d v="2024-09-06T00:00:00"/>
    <s v="CUST029"/>
    <x v="23"/>
    <s v="P006"/>
    <x v="9"/>
    <x v="2"/>
    <n v="4"/>
    <n v="199.99"/>
    <s v="Debit Card"/>
    <x v="0"/>
    <x v="1"/>
    <d v="2021-08-19T00:00:00"/>
    <x v="37"/>
  </r>
  <r>
    <s v="TRX0145"/>
    <d v="2024-09-07T00:00:00"/>
    <s v="CUST033"/>
    <x v="37"/>
    <s v="P005"/>
    <x v="1"/>
    <x v="1"/>
    <n v="1"/>
    <n v="59.99"/>
    <s v="Debit Card"/>
    <x v="3"/>
    <x v="2"/>
    <d v="2021-12-30T00:00:00"/>
    <x v="30"/>
  </r>
  <r>
    <s v="TRX0148"/>
    <d v="2024-09-08T00:00:00"/>
    <s v="CUST004"/>
    <x v="31"/>
    <s v="P002"/>
    <x v="5"/>
    <x v="0"/>
    <n v="3"/>
    <n v="699.99"/>
    <s v="PayPal"/>
    <x v="3"/>
    <x v="2"/>
    <d v="2022-01-22T00:00:00"/>
    <x v="7"/>
  </r>
  <r>
    <s v="TRX0012"/>
    <d v="2024-09-09T00:00:00"/>
    <s v="CUST045"/>
    <x v="46"/>
    <s v="P009"/>
    <x v="0"/>
    <x v="0"/>
    <n v="5"/>
    <n v="249.99"/>
    <s v="Credit Card"/>
    <x v="2"/>
    <x v="0"/>
    <d v="2022-11-08T00:00:00"/>
    <x v="16"/>
  </r>
  <r>
    <s v="TRX0206"/>
    <d v="2024-09-10T00:00:00"/>
    <s v="CUST014"/>
    <x v="21"/>
    <s v="P008"/>
    <x v="2"/>
    <x v="2"/>
    <n v="2"/>
    <n v="149.99"/>
    <s v="Cash"/>
    <x v="1"/>
    <x v="2"/>
    <d v="2023-06-24T00:00:00"/>
    <x v="22"/>
  </r>
  <r>
    <s v="TRX0045"/>
    <d v="2024-09-11T00:00:00"/>
    <s v="CUST021"/>
    <x v="2"/>
    <s v="P007"/>
    <x v="6"/>
    <x v="2"/>
    <n v="3"/>
    <n v="299.99"/>
    <s v="Cash"/>
    <x v="1"/>
    <x v="1"/>
    <d v="2022-04-08T00:00:00"/>
    <x v="23"/>
  </r>
  <r>
    <s v="TRX0094"/>
    <d v="2024-09-12T00:00:00"/>
    <s v="CUST017"/>
    <x v="6"/>
    <s v="P009"/>
    <x v="0"/>
    <x v="0"/>
    <n v="5"/>
    <n v="249.99"/>
    <s v="Cash"/>
    <x v="0"/>
    <x v="1"/>
    <d v="2021-10-16T00:00:00"/>
    <x v="16"/>
  </r>
  <r>
    <s v="TRX0133"/>
    <d v="2024-09-13T00:00:00"/>
    <s v="CUST013"/>
    <x v="1"/>
    <s v="P003"/>
    <x v="3"/>
    <x v="0"/>
    <n v="2"/>
    <n v="149.99"/>
    <s v="Cash"/>
    <x v="1"/>
    <x v="1"/>
    <d v="2021-10-06T00:00:00"/>
    <x v="22"/>
  </r>
  <r>
    <s v="TRX0201"/>
    <d v="2024-09-14T00:00:00"/>
    <s v="CUST025"/>
    <x v="14"/>
    <s v="P002"/>
    <x v="5"/>
    <x v="0"/>
    <n v="5"/>
    <n v="699.99"/>
    <s v="Debit Card"/>
    <x v="3"/>
    <x v="2"/>
    <d v="2023-01-18T00:00:00"/>
    <x v="12"/>
  </r>
  <r>
    <s v="TRX0137"/>
    <d v="2024-09-15T00:00:00"/>
    <s v="CUST011"/>
    <x v="44"/>
    <s v="P009"/>
    <x v="0"/>
    <x v="0"/>
    <n v="4"/>
    <n v="249.99"/>
    <s v="PayPal"/>
    <x v="4"/>
    <x v="1"/>
    <d v="2023-06-21T00:00:00"/>
    <x v="14"/>
  </r>
  <r>
    <s v="TRX0066"/>
    <d v="2024-09-16T00:00:00"/>
    <s v="CUST024"/>
    <x v="5"/>
    <s v="P002"/>
    <x v="5"/>
    <x v="0"/>
    <n v="4"/>
    <n v="699.99"/>
    <s v="Credit Card"/>
    <x v="2"/>
    <x v="1"/>
    <d v="2022-05-22T00:00:00"/>
    <x v="13"/>
  </r>
  <r>
    <s v="TRX0180"/>
    <d v="2024-09-17T00:00:00"/>
    <s v="CUST036"/>
    <x v="20"/>
    <s v="P009"/>
    <x v="0"/>
    <x v="0"/>
    <n v="2"/>
    <n v="249.99"/>
    <s v="Credit Card"/>
    <x v="0"/>
    <x v="1"/>
    <d v="2021-07-19T00:00:00"/>
    <x v="36"/>
  </r>
  <r>
    <s v="TRX0082"/>
    <d v="2024-09-18T00:00:00"/>
    <s v="CUST005"/>
    <x v="47"/>
    <s v="P005"/>
    <x v="1"/>
    <x v="1"/>
    <n v="3"/>
    <n v="59.99"/>
    <s v="Cash"/>
    <x v="0"/>
    <x v="1"/>
    <d v="2023-05-06T00:00:00"/>
    <x v="1"/>
  </r>
  <r>
    <s v="TRX0036"/>
    <d v="2024-09-19T00:00:00"/>
    <s v="CUST008"/>
    <x v="27"/>
    <s v="P004"/>
    <x v="7"/>
    <x v="1"/>
    <n v="4"/>
    <n v="79.989999999999995"/>
    <s v="Debit Card"/>
    <x v="4"/>
    <x v="2"/>
    <d v="2022-12-26T00:00:00"/>
    <x v="40"/>
  </r>
  <r>
    <s v="TRX0198"/>
    <d v="2024-09-20T00:00:00"/>
    <s v="CUST030"/>
    <x v="22"/>
    <s v="P004"/>
    <x v="7"/>
    <x v="1"/>
    <n v="3"/>
    <n v="79.989999999999995"/>
    <s v="Debit Card"/>
    <x v="4"/>
    <x v="2"/>
    <d v="2022-08-06T00:00:00"/>
    <x v="18"/>
  </r>
  <r>
    <s v="TRX0032"/>
    <d v="2024-09-21T00:00:00"/>
    <s v="CUST041"/>
    <x v="10"/>
    <s v="P001"/>
    <x v="4"/>
    <x v="0"/>
    <n v="2"/>
    <n v="899.99"/>
    <s v="Cash"/>
    <x v="2"/>
    <x v="0"/>
    <d v="2021-07-29T00:00:00"/>
    <x v="43"/>
  </r>
  <r>
    <s v="TRX0081"/>
    <d v="2024-09-22T00:00:00"/>
    <s v="CUST007"/>
    <x v="35"/>
    <s v="P008"/>
    <x v="2"/>
    <x v="2"/>
    <n v="1"/>
    <n v="149.99"/>
    <s v="Debit Card"/>
    <x v="4"/>
    <x v="2"/>
    <d v="2023-10-01T00:00:00"/>
    <x v="5"/>
  </r>
  <r>
    <s v="TRX0224"/>
    <d v="2024-09-23T00:00:00"/>
    <s v="CUST031"/>
    <x v="26"/>
    <s v="P007"/>
    <x v="6"/>
    <x v="2"/>
    <n v="2"/>
    <n v="299.99"/>
    <s v="Cash"/>
    <x v="4"/>
    <x v="1"/>
    <d v="2022-06-12T00:00:00"/>
    <x v="31"/>
  </r>
  <r>
    <s v="TRX0028"/>
    <d v="2024-09-24T00:00:00"/>
    <s v="CUST002"/>
    <x v="25"/>
    <s v="P005"/>
    <x v="1"/>
    <x v="1"/>
    <n v="2"/>
    <n v="59.99"/>
    <s v="Cash"/>
    <x v="3"/>
    <x v="0"/>
    <d v="2023-09-22T00:00:00"/>
    <x v="3"/>
  </r>
  <r>
    <s v="TRX0183"/>
    <d v="2024-09-25T00:00:00"/>
    <s v="CUST007"/>
    <x v="35"/>
    <s v="P010"/>
    <x v="8"/>
    <x v="0"/>
    <n v="1"/>
    <n v="89.99"/>
    <s v="Debit Card"/>
    <x v="0"/>
    <x v="2"/>
    <d v="2022-07-18T00:00:00"/>
    <x v="27"/>
  </r>
  <r>
    <s v="TRX0163"/>
    <d v="2024-09-26T00:00:00"/>
    <s v="CUST019"/>
    <x v="29"/>
    <s v="P001"/>
    <x v="4"/>
    <x v="0"/>
    <n v="5"/>
    <n v="899.99"/>
    <s v="Debit Card"/>
    <x v="4"/>
    <x v="2"/>
    <d v="2022-03-05T00:00:00"/>
    <x v="29"/>
  </r>
  <r>
    <s v="TRX0046"/>
    <d v="2024-09-27T00:00:00"/>
    <s v="CUST003"/>
    <x v="4"/>
    <s v="P008"/>
    <x v="2"/>
    <x v="2"/>
    <n v="2"/>
    <n v="149.99"/>
    <s v="Cash"/>
    <x v="1"/>
    <x v="0"/>
    <d v="2023-11-09T00:00:00"/>
    <x v="22"/>
  </r>
  <r>
    <s v="TRX0164"/>
    <d v="2024-09-28T00:00:00"/>
    <s v="CUST014"/>
    <x v="21"/>
    <s v="P003"/>
    <x v="3"/>
    <x v="0"/>
    <n v="2"/>
    <n v="149.99"/>
    <s v="Debit Card"/>
    <x v="3"/>
    <x v="1"/>
    <d v="2023-12-20T00:00:00"/>
    <x v="22"/>
  </r>
  <r>
    <s v="TRX0008"/>
    <d v="2024-09-29T00:00:00"/>
    <s v="CUST007"/>
    <x v="35"/>
    <s v="P008"/>
    <x v="2"/>
    <x v="2"/>
    <n v="3"/>
    <n v="149.99"/>
    <s v="Debit Card"/>
    <x v="2"/>
    <x v="2"/>
    <d v="2021-11-22T00:00:00"/>
    <x v="6"/>
  </r>
  <r>
    <s v="TRX0171"/>
    <d v="2024-09-30T00:00:00"/>
    <s v="CUST021"/>
    <x v="2"/>
    <s v="P007"/>
    <x v="6"/>
    <x v="2"/>
    <n v="2"/>
    <n v="299.99"/>
    <s v="PayPal"/>
    <x v="1"/>
    <x v="0"/>
    <d v="2022-06-09T00:00:00"/>
    <x v="31"/>
  </r>
  <r>
    <s v="TRX0143"/>
    <d v="2024-10-01T00:00:00"/>
    <s v="CUST003"/>
    <x v="4"/>
    <s v="P007"/>
    <x v="6"/>
    <x v="2"/>
    <n v="2"/>
    <n v="299.99"/>
    <s v="Cash"/>
    <x v="3"/>
    <x v="0"/>
    <d v="2022-07-29T00:00:00"/>
    <x v="31"/>
  </r>
  <r>
    <s v="TRX0165"/>
    <d v="2024-10-02T00:00:00"/>
    <s v="CUST030"/>
    <x v="22"/>
    <s v="P006"/>
    <x v="9"/>
    <x v="2"/>
    <n v="4"/>
    <n v="199.99"/>
    <s v="Credit Card"/>
    <x v="0"/>
    <x v="0"/>
    <d v="2021-11-23T00:00:00"/>
    <x v="37"/>
  </r>
  <r>
    <s v="TRX0156"/>
    <d v="2024-10-03T00:00:00"/>
    <s v="CUST009"/>
    <x v="7"/>
    <s v="P010"/>
    <x v="8"/>
    <x v="0"/>
    <n v="1"/>
    <n v="89.99"/>
    <s v="Credit Card"/>
    <x v="1"/>
    <x v="1"/>
    <d v="2022-01-30T00:00:00"/>
    <x v="27"/>
  </r>
  <r>
    <s v="TRX0147"/>
    <d v="2024-10-04T00:00:00"/>
    <s v="CUST036"/>
    <x v="20"/>
    <s v="P008"/>
    <x v="2"/>
    <x v="2"/>
    <n v="5"/>
    <n v="149.99"/>
    <s v="Cash"/>
    <x v="0"/>
    <x v="1"/>
    <d v="2024-02-25T00:00:00"/>
    <x v="2"/>
  </r>
  <r>
    <s v="TRX0207"/>
    <d v="2024-10-05T00:00:00"/>
    <s v="CUST025"/>
    <x v="14"/>
    <s v="P001"/>
    <x v="4"/>
    <x v="0"/>
    <n v="1"/>
    <n v="899.99"/>
    <s v="PayPal"/>
    <x v="2"/>
    <x v="1"/>
    <d v="2023-05-04T00:00:00"/>
    <x v="8"/>
  </r>
  <r>
    <s v="TRX0056"/>
    <d v="2024-10-06T00:00:00"/>
    <s v="CUST019"/>
    <x v="29"/>
    <s v="P010"/>
    <x v="8"/>
    <x v="0"/>
    <n v="2"/>
    <n v="89.99"/>
    <s v="Credit Card"/>
    <x v="1"/>
    <x v="1"/>
    <d v="2022-01-03T00:00:00"/>
    <x v="28"/>
  </r>
  <r>
    <s v="TRX0026"/>
    <d v="2024-10-07T00:00:00"/>
    <s v="CUST037"/>
    <x v="48"/>
    <s v="P001"/>
    <x v="4"/>
    <x v="0"/>
    <n v="1"/>
    <n v="899.99"/>
    <s v="PayPal"/>
    <x v="2"/>
    <x v="2"/>
    <d v="2022-07-10T00:00:00"/>
    <x v="8"/>
  </r>
  <r>
    <s v="TRX0237"/>
    <d v="2024-10-08T00:00:00"/>
    <s v="CUST006"/>
    <x v="24"/>
    <s v="P003"/>
    <x v="3"/>
    <x v="0"/>
    <n v="5"/>
    <n v="149.99"/>
    <s v="PayPal"/>
    <x v="4"/>
    <x v="1"/>
    <d v="2022-09-20T00:00:00"/>
    <x v="2"/>
  </r>
  <r>
    <s v="TRX0091"/>
    <d v="2024-10-09T00:00:00"/>
    <s v="CUST003"/>
    <x v="4"/>
    <s v="P007"/>
    <x v="6"/>
    <x v="2"/>
    <n v="3"/>
    <n v="299.99"/>
    <s v="Cash"/>
    <x v="1"/>
    <x v="2"/>
    <d v="2021-08-14T00:00:00"/>
    <x v="23"/>
  </r>
  <r>
    <s v="TRX0125"/>
    <d v="2024-10-10T00:00:00"/>
    <s v="CUST026"/>
    <x v="8"/>
    <s v="P002"/>
    <x v="5"/>
    <x v="0"/>
    <n v="3"/>
    <n v="699.99"/>
    <s v="Credit Card"/>
    <x v="0"/>
    <x v="1"/>
    <d v="2023-06-28T00:00:00"/>
    <x v="7"/>
  </r>
  <r>
    <s v="TRX0223"/>
    <d v="2024-10-11T00:00:00"/>
    <s v="CUST036"/>
    <x v="20"/>
    <s v="P006"/>
    <x v="9"/>
    <x v="2"/>
    <n v="5"/>
    <n v="199.99"/>
    <s v="PayPal"/>
    <x v="0"/>
    <x v="2"/>
    <d v="2022-03-13T00:00:00"/>
    <x v="21"/>
  </r>
  <r>
    <s v="TRX0243"/>
    <d v="2024-10-12T00:00:00"/>
    <s v="CUST048"/>
    <x v="16"/>
    <s v="P009"/>
    <x v="0"/>
    <x v="0"/>
    <n v="5"/>
    <n v="249.99"/>
    <s v="Credit Card"/>
    <x v="1"/>
    <x v="0"/>
    <d v="2024-02-08T00:00:00"/>
    <x v="16"/>
  </r>
  <r>
    <s v="TRX0084"/>
    <d v="2024-10-13T00:00:00"/>
    <s v="CUST031"/>
    <x v="26"/>
    <s v="P003"/>
    <x v="3"/>
    <x v="0"/>
    <n v="4"/>
    <n v="149.99"/>
    <s v="Debit Card"/>
    <x v="4"/>
    <x v="2"/>
    <d v="2021-12-06T00:00:00"/>
    <x v="9"/>
  </r>
  <r>
    <s v="TRX0238"/>
    <d v="2024-10-14T00:00:00"/>
    <s v="CUST038"/>
    <x v="12"/>
    <s v="P002"/>
    <x v="5"/>
    <x v="0"/>
    <n v="3"/>
    <n v="699.99"/>
    <s v="Cash"/>
    <x v="2"/>
    <x v="1"/>
    <d v="2022-02-10T00:00:00"/>
    <x v="7"/>
  </r>
  <r>
    <s v="TRX0102"/>
    <d v="2024-10-15T00:00:00"/>
    <s v="CUST045"/>
    <x v="46"/>
    <s v="P004"/>
    <x v="7"/>
    <x v="1"/>
    <n v="1"/>
    <n v="79.989999999999995"/>
    <s v="Credit Card"/>
    <x v="1"/>
    <x v="0"/>
    <d v="2024-01-31T00:00:00"/>
    <x v="26"/>
  </r>
  <r>
    <s v="TRX0022"/>
    <d v="2024-10-16T00:00:00"/>
    <s v="CUST025"/>
    <x v="14"/>
    <s v="P007"/>
    <x v="6"/>
    <x v="2"/>
    <n v="1"/>
    <n v="299.99"/>
    <s v="Credit Card"/>
    <x v="2"/>
    <x v="0"/>
    <d v="2021-08-28T00:00:00"/>
    <x v="34"/>
  </r>
  <r>
    <s v="TRX0087"/>
    <d v="2024-10-17T00:00:00"/>
    <s v="CUST028"/>
    <x v="32"/>
    <s v="P009"/>
    <x v="0"/>
    <x v="0"/>
    <n v="4"/>
    <n v="249.99"/>
    <s v="Credit Card"/>
    <x v="2"/>
    <x v="1"/>
    <d v="2021-09-21T00:00:00"/>
    <x v="14"/>
  </r>
  <r>
    <s v="TRX0107"/>
    <d v="2024-10-18T00:00:00"/>
    <s v="CUST030"/>
    <x v="22"/>
    <s v="P003"/>
    <x v="3"/>
    <x v="0"/>
    <n v="2"/>
    <n v="149.99"/>
    <s v="Cash"/>
    <x v="2"/>
    <x v="2"/>
    <d v="2022-12-18T00:00:00"/>
    <x v="22"/>
  </r>
  <r>
    <s v="TRX0051"/>
    <d v="2024-10-19T00:00:00"/>
    <s v="CUST032"/>
    <x v="42"/>
    <s v="P007"/>
    <x v="6"/>
    <x v="2"/>
    <n v="3"/>
    <n v="299.99"/>
    <s v="Credit Card"/>
    <x v="1"/>
    <x v="0"/>
    <d v="2023-10-05T00:00:00"/>
    <x v="23"/>
  </r>
  <r>
    <s v="TRX0106"/>
    <d v="2024-10-20T00:00:00"/>
    <s v="CUST039"/>
    <x v="40"/>
    <s v="P006"/>
    <x v="9"/>
    <x v="2"/>
    <n v="4"/>
    <n v="199.99"/>
    <s v="Debit Card"/>
    <x v="1"/>
    <x v="2"/>
    <d v="2021-12-14T00:00:00"/>
    <x v="37"/>
  </r>
  <r>
    <s v="TRX0059"/>
    <d v="2024-10-21T00:00:00"/>
    <s v="CUST016"/>
    <x v="39"/>
    <s v="P007"/>
    <x v="6"/>
    <x v="2"/>
    <n v="5"/>
    <n v="299.99"/>
    <s v="Debit Card"/>
    <x v="0"/>
    <x v="0"/>
    <d v="2021-08-23T00:00:00"/>
    <x v="17"/>
  </r>
  <r>
    <s v="TRX0072"/>
    <d v="2024-10-22T00:00:00"/>
    <s v="CUST009"/>
    <x v="7"/>
    <s v="P008"/>
    <x v="2"/>
    <x v="2"/>
    <n v="3"/>
    <n v="149.99"/>
    <s v="Credit Card"/>
    <x v="4"/>
    <x v="2"/>
    <d v="2021-07-18T00:00:00"/>
    <x v="6"/>
  </r>
  <r>
    <s v="TRX0110"/>
    <d v="2024-10-23T00:00:00"/>
    <s v="CUST006"/>
    <x v="24"/>
    <s v="P005"/>
    <x v="1"/>
    <x v="1"/>
    <n v="5"/>
    <n v="59.99"/>
    <s v="Debit Card"/>
    <x v="4"/>
    <x v="0"/>
    <d v="2022-03-22T00:00:00"/>
    <x v="42"/>
  </r>
  <r>
    <s v="TRX0126"/>
    <d v="2024-10-24T00:00:00"/>
    <s v="CUST022"/>
    <x v="9"/>
    <s v="P005"/>
    <x v="1"/>
    <x v="1"/>
    <n v="4"/>
    <n v="59.99"/>
    <s v="Debit Card"/>
    <x v="4"/>
    <x v="2"/>
    <d v="2022-01-03T00:00:00"/>
    <x v="20"/>
  </r>
  <r>
    <s v="TRX0159"/>
    <d v="2024-10-25T00:00:00"/>
    <s v="CUST024"/>
    <x v="5"/>
    <s v="P009"/>
    <x v="0"/>
    <x v="0"/>
    <n v="4"/>
    <n v="249.99"/>
    <s v="Debit Card"/>
    <x v="0"/>
    <x v="1"/>
    <d v="2023-10-18T00:00:00"/>
    <x v="14"/>
  </r>
  <r>
    <s v="TRX0030"/>
    <d v="2024-10-26T00:00:00"/>
    <s v="CUST011"/>
    <x v="44"/>
    <s v="P001"/>
    <x v="4"/>
    <x v="0"/>
    <n v="4"/>
    <n v="899.99"/>
    <s v="PayPal"/>
    <x v="0"/>
    <x v="0"/>
    <d v="2022-06-22T00:00:00"/>
    <x v="11"/>
  </r>
  <r>
    <s v="TRX0178"/>
    <d v="2024-10-27T00:00:00"/>
    <s v="CUST025"/>
    <x v="14"/>
    <s v="P007"/>
    <x v="6"/>
    <x v="2"/>
    <n v="3"/>
    <n v="299.99"/>
    <s v="Debit Card"/>
    <x v="3"/>
    <x v="2"/>
    <d v="2023-01-26T00:00:00"/>
    <x v="23"/>
  </r>
  <r>
    <s v="TRX0188"/>
    <d v="2024-10-28T00:00:00"/>
    <s v="CUST045"/>
    <x v="46"/>
    <s v="P002"/>
    <x v="5"/>
    <x v="0"/>
    <n v="2"/>
    <n v="699.99"/>
    <s v="Debit Card"/>
    <x v="0"/>
    <x v="1"/>
    <d v="2022-04-30T00:00:00"/>
    <x v="10"/>
  </r>
  <r>
    <s v="TRX0010"/>
    <d v="2024-10-29T00:00:00"/>
    <s v="CUST026"/>
    <x v="8"/>
    <s v="P002"/>
    <x v="5"/>
    <x v="0"/>
    <n v="4"/>
    <n v="699.99"/>
    <s v="Debit Card"/>
    <x v="3"/>
    <x v="1"/>
    <d v="2022-05-11T00:00:00"/>
    <x v="13"/>
  </r>
  <r>
    <s v="TRX0069"/>
    <d v="2024-10-30T00:00:00"/>
    <s v="CUST029"/>
    <x v="23"/>
    <s v="P010"/>
    <x v="8"/>
    <x v="0"/>
    <n v="2"/>
    <n v="89.99"/>
    <s v="Debit Card"/>
    <x v="1"/>
    <x v="0"/>
    <d v="2022-08-04T00:00:00"/>
    <x v="28"/>
  </r>
  <r>
    <s v="TRX0166"/>
    <d v="2024-10-31T00:00:00"/>
    <s v="CUST003"/>
    <x v="4"/>
    <s v="P010"/>
    <x v="8"/>
    <x v="0"/>
    <n v="3"/>
    <n v="89.99"/>
    <s v="Debit Card"/>
    <x v="1"/>
    <x v="1"/>
    <d v="2024-01-16T00:00:00"/>
    <x v="25"/>
  </r>
  <r>
    <s v="TRX0219"/>
    <d v="2024-11-01T00:00:00"/>
    <s v="CUST037"/>
    <x v="48"/>
    <s v="P005"/>
    <x v="1"/>
    <x v="1"/>
    <n v="1"/>
    <n v="59.99"/>
    <s v="Debit Card"/>
    <x v="0"/>
    <x v="2"/>
    <d v="2023-04-29T00:00:00"/>
    <x v="30"/>
  </r>
  <r>
    <s v="TRX0024"/>
    <d v="2024-11-02T00:00:00"/>
    <s v="CUST042"/>
    <x v="43"/>
    <s v="P008"/>
    <x v="2"/>
    <x v="2"/>
    <n v="3"/>
    <n v="149.99"/>
    <s v="Debit Card"/>
    <x v="2"/>
    <x v="1"/>
    <d v="2022-01-03T00:00:00"/>
    <x v="6"/>
  </r>
  <r>
    <s v="TRX0105"/>
    <d v="2024-11-03T00:00:00"/>
    <s v="CUST048"/>
    <x v="16"/>
    <s v="P007"/>
    <x v="6"/>
    <x v="2"/>
    <n v="5"/>
    <n v="299.99"/>
    <s v="Credit Card"/>
    <x v="1"/>
    <x v="0"/>
    <d v="2023-02-02T00:00:00"/>
    <x v="17"/>
  </r>
  <r>
    <s v="TRX0011"/>
    <d v="2024-11-04T00:00:00"/>
    <s v="CUST040"/>
    <x v="30"/>
    <s v="P005"/>
    <x v="1"/>
    <x v="1"/>
    <n v="5"/>
    <n v="59.99"/>
    <s v="Debit Card"/>
    <x v="0"/>
    <x v="2"/>
    <d v="2023-09-08T00:00:00"/>
    <x v="42"/>
  </r>
  <r>
    <s v="TRX0187"/>
    <d v="2024-11-05T00:00:00"/>
    <s v="CUST036"/>
    <x v="20"/>
    <s v="P004"/>
    <x v="7"/>
    <x v="1"/>
    <n v="3"/>
    <n v="79.989999999999995"/>
    <s v="Cash"/>
    <x v="4"/>
    <x v="1"/>
    <d v="2021-08-28T00:00:00"/>
    <x v="18"/>
  </r>
  <r>
    <s v="TRX0089"/>
    <d v="2024-11-06T00:00:00"/>
    <s v="CUST021"/>
    <x v="2"/>
    <s v="P006"/>
    <x v="9"/>
    <x v="2"/>
    <n v="3"/>
    <n v="199.99"/>
    <s v="Cash"/>
    <x v="0"/>
    <x v="0"/>
    <d v="2022-06-23T00:00:00"/>
    <x v="24"/>
  </r>
  <r>
    <s v="TRX0196"/>
    <d v="2024-11-07T00:00:00"/>
    <s v="CUST023"/>
    <x v="0"/>
    <s v="P010"/>
    <x v="8"/>
    <x v="0"/>
    <n v="2"/>
    <n v="89.99"/>
    <s v="PayPal"/>
    <x v="0"/>
    <x v="0"/>
    <d v="2023-11-27T00:00:00"/>
    <x v="28"/>
  </r>
  <r>
    <s v="TRX0118"/>
    <d v="2024-11-08T00:00:00"/>
    <s v="CUST015"/>
    <x v="45"/>
    <s v="P008"/>
    <x v="2"/>
    <x v="2"/>
    <n v="2"/>
    <n v="149.99"/>
    <s v="Cash"/>
    <x v="1"/>
    <x v="1"/>
    <d v="2022-06-16T00:00:00"/>
    <x v="22"/>
  </r>
  <r>
    <s v="TRX0179"/>
    <d v="2024-11-09T00:00:00"/>
    <s v="CUST029"/>
    <x v="23"/>
    <s v="P002"/>
    <x v="5"/>
    <x v="0"/>
    <n v="5"/>
    <n v="699.99"/>
    <s v="PayPal"/>
    <x v="1"/>
    <x v="1"/>
    <d v="2024-03-01T00:00:00"/>
    <x v="12"/>
  </r>
  <r>
    <s v="TRX0168"/>
    <d v="2024-11-10T00:00:00"/>
    <s v="CUST003"/>
    <x v="4"/>
    <s v="P008"/>
    <x v="2"/>
    <x v="2"/>
    <n v="3"/>
    <n v="149.99"/>
    <s v="PayPal"/>
    <x v="0"/>
    <x v="2"/>
    <d v="2022-03-13T00:00:00"/>
    <x v="6"/>
  </r>
  <r>
    <s v="TRX0214"/>
    <d v="2024-11-11T00:00:00"/>
    <s v="CUST018"/>
    <x v="17"/>
    <s v="P001"/>
    <x v="4"/>
    <x v="0"/>
    <n v="3"/>
    <n v="899.99"/>
    <s v="Cash"/>
    <x v="4"/>
    <x v="2"/>
    <d v="2022-02-21T00:00:00"/>
    <x v="4"/>
  </r>
  <r>
    <s v="TRX0221"/>
    <d v="2024-11-12T00:00:00"/>
    <s v="CUST033"/>
    <x v="37"/>
    <s v="P006"/>
    <x v="9"/>
    <x v="2"/>
    <n v="3"/>
    <n v="199.99"/>
    <s v="Cash"/>
    <x v="3"/>
    <x v="1"/>
    <d v="2022-09-19T00:00:00"/>
    <x v="24"/>
  </r>
  <r>
    <s v="TRX0083"/>
    <d v="2024-11-13T00:00:00"/>
    <s v="CUST017"/>
    <x v="6"/>
    <s v="P007"/>
    <x v="6"/>
    <x v="2"/>
    <n v="5"/>
    <n v="299.99"/>
    <s v="Cash"/>
    <x v="3"/>
    <x v="2"/>
    <d v="2023-08-04T00:00:00"/>
    <x v="17"/>
  </r>
  <r>
    <s v="TRX0151"/>
    <d v="2024-11-14T00:00:00"/>
    <s v="CUST040"/>
    <x v="30"/>
    <s v="P002"/>
    <x v="5"/>
    <x v="0"/>
    <n v="1"/>
    <n v="699.99"/>
    <s v="PayPal"/>
    <x v="3"/>
    <x v="0"/>
    <d v="2023-01-08T00:00:00"/>
    <x v="38"/>
  </r>
  <r>
    <s v="TRX0047"/>
    <d v="2024-11-15T00:00:00"/>
    <s v="CUST042"/>
    <x v="43"/>
    <s v="P002"/>
    <x v="5"/>
    <x v="0"/>
    <n v="1"/>
    <n v="699.99"/>
    <s v="Cash"/>
    <x v="2"/>
    <x v="1"/>
    <d v="2022-01-22T00:00:00"/>
    <x v="38"/>
  </r>
  <r>
    <s v="TRX0200"/>
    <d v="2024-11-16T00:00:00"/>
    <s v="CUST037"/>
    <x v="48"/>
    <s v="P008"/>
    <x v="2"/>
    <x v="2"/>
    <n v="4"/>
    <n v="149.99"/>
    <s v="PayPal"/>
    <x v="2"/>
    <x v="1"/>
    <d v="2021-08-04T00:00:00"/>
    <x v="9"/>
  </r>
  <r>
    <s v="TRX0062"/>
    <d v="2024-11-17T00:00:00"/>
    <s v="CUST016"/>
    <x v="39"/>
    <s v="P010"/>
    <x v="8"/>
    <x v="0"/>
    <n v="5"/>
    <n v="89.99"/>
    <s v="PayPal"/>
    <x v="3"/>
    <x v="1"/>
    <d v="2023-08-02T00:00:00"/>
    <x v="19"/>
  </r>
  <r>
    <s v="TRX0182"/>
    <d v="2024-11-18T00:00:00"/>
    <s v="CUST031"/>
    <x v="26"/>
    <s v="P006"/>
    <x v="9"/>
    <x v="2"/>
    <n v="2"/>
    <n v="199.99"/>
    <s v="Cash"/>
    <x v="0"/>
    <x v="1"/>
    <d v="2022-01-12T00:00:00"/>
    <x v="35"/>
  </r>
  <r>
    <s v="TRX0229"/>
    <d v="2024-11-19T00:00:00"/>
    <s v="CUST015"/>
    <x v="45"/>
    <s v="P005"/>
    <x v="1"/>
    <x v="1"/>
    <n v="4"/>
    <n v="59.99"/>
    <s v="Cash"/>
    <x v="3"/>
    <x v="2"/>
    <d v="2023-05-24T00:00:00"/>
    <x v="20"/>
  </r>
  <r>
    <s v="TRX0048"/>
    <d v="2024-11-20T00:00:00"/>
    <s v="CUST048"/>
    <x v="16"/>
    <s v="P007"/>
    <x v="6"/>
    <x v="2"/>
    <n v="2"/>
    <n v="299.99"/>
    <s v="PayPal"/>
    <x v="1"/>
    <x v="0"/>
    <d v="2022-01-15T00:00:00"/>
    <x v="31"/>
  </r>
  <r>
    <s v="TRX0227"/>
    <d v="2024-11-21T00:00:00"/>
    <s v="CUST017"/>
    <x v="6"/>
    <s v="P008"/>
    <x v="2"/>
    <x v="2"/>
    <n v="2"/>
    <n v="149.99"/>
    <s v="Cash"/>
    <x v="0"/>
    <x v="0"/>
    <d v="2023-05-22T00:00:00"/>
    <x v="22"/>
  </r>
  <r>
    <s v="TRX0226"/>
    <d v="2024-11-22T00:00:00"/>
    <s v="CUST039"/>
    <x v="40"/>
    <s v="P002"/>
    <x v="5"/>
    <x v="0"/>
    <n v="5"/>
    <n v="699.99"/>
    <s v="Debit Card"/>
    <x v="4"/>
    <x v="1"/>
    <d v="2023-08-23T00:00:00"/>
    <x v="12"/>
  </r>
  <r>
    <s v="TRX0053"/>
    <d v="2024-11-23T00:00:00"/>
    <s v="CUST043"/>
    <x v="11"/>
    <s v="P005"/>
    <x v="1"/>
    <x v="1"/>
    <n v="5"/>
    <n v="59.99"/>
    <s v="Cash"/>
    <x v="3"/>
    <x v="1"/>
    <d v="2023-12-31T00:00:00"/>
    <x v="42"/>
  </r>
  <r>
    <s v="TRX0233"/>
    <d v="2024-11-24T00:00:00"/>
    <s v="CUST023"/>
    <x v="0"/>
    <s v="P010"/>
    <x v="8"/>
    <x v="0"/>
    <n v="2"/>
    <n v="89.99"/>
    <s v="Credit Card"/>
    <x v="3"/>
    <x v="1"/>
    <d v="2024-01-04T00:00:00"/>
    <x v="28"/>
  </r>
  <r>
    <s v="TRX0175"/>
    <d v="2024-11-25T00:00:00"/>
    <s v="CUST030"/>
    <x v="22"/>
    <s v="P009"/>
    <x v="0"/>
    <x v="0"/>
    <n v="5"/>
    <n v="249.99"/>
    <s v="Cash"/>
    <x v="4"/>
    <x v="2"/>
    <d v="2021-12-10T00:00:00"/>
    <x v="16"/>
  </r>
  <r>
    <s v="TRX0186"/>
    <d v="2024-11-26T00:00:00"/>
    <s v="CUST039"/>
    <x v="40"/>
    <s v="P008"/>
    <x v="2"/>
    <x v="2"/>
    <n v="2"/>
    <n v="149.99"/>
    <s v="PayPal"/>
    <x v="0"/>
    <x v="1"/>
    <d v="2022-03-12T00:00:00"/>
    <x v="22"/>
  </r>
  <r>
    <s v="TRX0016"/>
    <d v="2024-11-27T00:00:00"/>
    <s v="CUST035"/>
    <x v="28"/>
    <s v="P001"/>
    <x v="4"/>
    <x v="0"/>
    <n v="5"/>
    <n v="899.99"/>
    <s v="PayPal"/>
    <x v="4"/>
    <x v="1"/>
    <d v="2024-04-07T00:00:00"/>
    <x v="29"/>
  </r>
  <r>
    <s v="TRX0199"/>
    <d v="2024-11-28T00:00:00"/>
    <s v="CUST017"/>
    <x v="6"/>
    <s v="P008"/>
    <x v="2"/>
    <x v="2"/>
    <n v="4"/>
    <n v="149.99"/>
    <s v="Cash"/>
    <x v="0"/>
    <x v="2"/>
    <d v="2023-12-03T00:00:00"/>
    <x v="9"/>
  </r>
  <r>
    <s v="TRX0038"/>
    <d v="2024-11-29T00:00:00"/>
    <s v="CUST035"/>
    <x v="28"/>
    <s v="P009"/>
    <x v="0"/>
    <x v="0"/>
    <n v="1"/>
    <n v="249.99"/>
    <s v="Cash"/>
    <x v="2"/>
    <x v="2"/>
    <d v="2023-07-10T00:00:00"/>
    <x v="39"/>
  </r>
  <r>
    <s v="TRX0014"/>
    <d v="2024-11-30T00:00:00"/>
    <s v="CUST033"/>
    <x v="37"/>
    <s v="P005"/>
    <x v="1"/>
    <x v="1"/>
    <n v="2"/>
    <n v="59.99"/>
    <s v="Credit Card"/>
    <x v="3"/>
    <x v="0"/>
    <d v="2023-09-24T00:00:00"/>
    <x v="3"/>
  </r>
  <r>
    <s v="TRX0003"/>
    <d v="2024-12-01T00:00:00"/>
    <s v="CUST002"/>
    <x v="25"/>
    <s v="P008"/>
    <x v="2"/>
    <x v="2"/>
    <n v="2"/>
    <n v="149.99"/>
    <s v="Cash"/>
    <x v="3"/>
    <x v="1"/>
    <d v="2023-11-03T00:00:00"/>
    <x v="22"/>
  </r>
  <r>
    <s v="TRX0124"/>
    <d v="2024-12-02T00:00:00"/>
    <s v="CUST040"/>
    <x v="30"/>
    <s v="P001"/>
    <x v="4"/>
    <x v="0"/>
    <n v="3"/>
    <n v="899.99"/>
    <s v="Debit Card"/>
    <x v="2"/>
    <x v="1"/>
    <d v="2022-11-11T00:00:00"/>
    <x v="4"/>
  </r>
  <r>
    <s v="TRX0013"/>
    <d v="2024-12-03T00:00:00"/>
    <s v="CUST024"/>
    <x v="5"/>
    <s v="P001"/>
    <x v="4"/>
    <x v="0"/>
    <n v="3"/>
    <n v="899.99"/>
    <s v="PayPal"/>
    <x v="2"/>
    <x v="0"/>
    <d v="2023-02-18T00:00:00"/>
    <x v="4"/>
  </r>
  <r>
    <s v="TRX0019"/>
    <d v="2024-12-04T00:00:00"/>
    <s v="CUST023"/>
    <x v="0"/>
    <s v="P007"/>
    <x v="6"/>
    <x v="2"/>
    <n v="3"/>
    <n v="299.99"/>
    <s v="Credit Card"/>
    <x v="3"/>
    <x v="1"/>
    <d v="2023-11-04T00:00:00"/>
    <x v="23"/>
  </r>
  <r>
    <s v="TRX0050"/>
    <d v="2024-12-05T00:00:00"/>
    <s v="CUST001"/>
    <x v="49"/>
    <s v="P008"/>
    <x v="2"/>
    <x v="2"/>
    <n v="4"/>
    <n v="149.99"/>
    <s v="PayPal"/>
    <x v="3"/>
    <x v="2"/>
    <d v="2021-12-30T00:00:00"/>
    <x v="9"/>
  </r>
  <r>
    <s v="TRX0152"/>
    <d v="2024-12-06T00:00:00"/>
    <s v="CUST044"/>
    <x v="19"/>
    <s v="P004"/>
    <x v="7"/>
    <x v="1"/>
    <n v="4"/>
    <n v="79.989999999999995"/>
    <s v="Credit Card"/>
    <x v="0"/>
    <x v="0"/>
    <d v="2023-12-28T00:00:00"/>
    <x v="40"/>
  </r>
  <r>
    <s v="TRX0213"/>
    <d v="2024-12-07T00:00:00"/>
    <s v="CUST020"/>
    <x v="36"/>
    <s v="P010"/>
    <x v="8"/>
    <x v="0"/>
    <n v="5"/>
    <n v="89.99"/>
    <s v="PayPal"/>
    <x v="1"/>
    <x v="0"/>
    <d v="2022-05-23T00:00:00"/>
    <x v="19"/>
  </r>
  <r>
    <s v="TRX0197"/>
    <d v="2024-12-08T00:00:00"/>
    <s v="CUST048"/>
    <x v="16"/>
    <s v="P008"/>
    <x v="2"/>
    <x v="2"/>
    <n v="3"/>
    <n v="149.99"/>
    <s v="PayPal"/>
    <x v="0"/>
    <x v="2"/>
    <d v="2023-09-02T00:00:00"/>
    <x v="6"/>
  </r>
  <r>
    <s v="TRX0250"/>
    <d v="2024-12-09T00:00:00"/>
    <s v="CUST026"/>
    <x v="8"/>
    <s v="P010"/>
    <x v="8"/>
    <x v="0"/>
    <n v="2"/>
    <n v="89.99"/>
    <s v="Debit Card"/>
    <x v="3"/>
    <x v="1"/>
    <d v="2021-11-22T00:00:00"/>
    <x v="28"/>
  </r>
  <r>
    <s v="TRX0068"/>
    <d v="2024-12-10T00:00:00"/>
    <s v="CUST044"/>
    <x v="19"/>
    <s v="P002"/>
    <x v="5"/>
    <x v="0"/>
    <n v="2"/>
    <n v="699.99"/>
    <s v="PayPal"/>
    <x v="2"/>
    <x v="2"/>
    <d v="2022-02-26T00:00:00"/>
    <x v="10"/>
  </r>
  <r>
    <s v="TRX0144"/>
    <d v="2024-12-11T00:00:00"/>
    <s v="CUST029"/>
    <x v="23"/>
    <s v="P001"/>
    <x v="4"/>
    <x v="0"/>
    <n v="3"/>
    <n v="899.99"/>
    <s v="Cash"/>
    <x v="0"/>
    <x v="2"/>
    <d v="2023-01-27T00:00:00"/>
    <x v="4"/>
  </r>
  <r>
    <s v="TRX0039"/>
    <d v="2024-12-12T00:00:00"/>
    <s v="CUST048"/>
    <x v="16"/>
    <s v="P004"/>
    <x v="7"/>
    <x v="1"/>
    <n v="3"/>
    <n v="79.989999999999995"/>
    <s v="Credit Card"/>
    <x v="2"/>
    <x v="0"/>
    <d v="2021-11-11T00:00:00"/>
    <x v="18"/>
  </r>
  <r>
    <s v="TRX0116"/>
    <d v="2024-12-13T00:00:00"/>
    <s v="CUST009"/>
    <x v="7"/>
    <s v="P010"/>
    <x v="8"/>
    <x v="0"/>
    <n v="1"/>
    <n v="89.99"/>
    <s v="Debit Card"/>
    <x v="4"/>
    <x v="0"/>
    <d v="2024-02-24T00:00:00"/>
    <x v="27"/>
  </r>
  <r>
    <s v="TRX0120"/>
    <d v="2024-12-14T00:00:00"/>
    <s v="CUST045"/>
    <x v="46"/>
    <s v="P002"/>
    <x v="5"/>
    <x v="0"/>
    <n v="3"/>
    <n v="699.99"/>
    <s v="PayPal"/>
    <x v="2"/>
    <x v="0"/>
    <d v="2022-12-14T00:00:00"/>
    <x v="7"/>
  </r>
  <r>
    <s v="TRX0103"/>
    <d v="2024-12-15T00:00:00"/>
    <s v="CUST039"/>
    <x v="40"/>
    <s v="P010"/>
    <x v="8"/>
    <x v="0"/>
    <n v="2"/>
    <n v="89.99"/>
    <s v="Debit Card"/>
    <x v="4"/>
    <x v="0"/>
    <d v="2023-06-11T00:00:00"/>
    <x v="28"/>
  </r>
  <r>
    <s v="TRX0064"/>
    <d v="2024-12-16T00:00:00"/>
    <s v="CUST031"/>
    <x v="26"/>
    <s v="P010"/>
    <x v="8"/>
    <x v="0"/>
    <n v="3"/>
    <n v="89.99"/>
    <s v="Debit Card"/>
    <x v="2"/>
    <x v="1"/>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47AC7-E13A-490A-998C-2ABF4042C3D5}" name="PivotTable7"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M3:O24" firstHeaderRow="1" firstDataRow="1" firstDataCol="2"/>
  <pivotFields count="14">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axis="axisRow" compact="0" outline="0" showAll="0">
      <items count="6">
        <item x="0"/>
        <item x="4"/>
        <item x="2"/>
        <item x="1"/>
        <item x="3"/>
        <item t="default"/>
      </items>
    </pivotField>
    <pivotField compact="0" outline="0" showAll="0"/>
    <pivotField compact="0" numFmtId="164" outline="0" showAll="0"/>
    <pivotField dataField="1" compact="0" outline="0"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2">
    <field x="10"/>
    <field x="6"/>
  </rowFields>
  <rowItems count="21">
    <i>
      <x/>
      <x/>
    </i>
    <i r="1">
      <x v="1"/>
    </i>
    <i r="1">
      <x v="2"/>
    </i>
    <i t="default">
      <x/>
    </i>
    <i>
      <x v="1"/>
      <x/>
    </i>
    <i r="1">
      <x v="1"/>
    </i>
    <i r="1">
      <x v="2"/>
    </i>
    <i t="default">
      <x v="1"/>
    </i>
    <i>
      <x v="2"/>
      <x/>
    </i>
    <i r="1">
      <x v="1"/>
    </i>
    <i r="1">
      <x v="2"/>
    </i>
    <i t="default">
      <x v="2"/>
    </i>
    <i>
      <x v="3"/>
      <x/>
    </i>
    <i r="1">
      <x v="1"/>
    </i>
    <i r="1">
      <x v="2"/>
    </i>
    <i t="default">
      <x v="3"/>
    </i>
    <i>
      <x v="4"/>
      <x/>
    </i>
    <i r="1">
      <x v="1"/>
    </i>
    <i r="1">
      <x v="2"/>
    </i>
    <i t="default">
      <x v="4"/>
    </i>
    <i t="grand">
      <x/>
    </i>
  </rowItems>
  <colItems count="1">
    <i/>
  </colItems>
  <dataFields count="1">
    <dataField name="Sum of Total_Amount" fld="13" baseField="6" baseItem="0"/>
  </dataFields>
  <formats count="13">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field="6" type="button" dataOnly="0" labelOnly="1" outline="0" axis="axisRow" fieldPosition="1"/>
    </format>
    <format dxfId="8">
      <pivotArea dataOnly="0" labelOnly="1" outline="0" fieldPosition="0">
        <references count="1">
          <reference field="10" count="0"/>
        </references>
      </pivotArea>
    </format>
    <format dxfId="7">
      <pivotArea dataOnly="0" labelOnly="1" outline="0" fieldPosition="0">
        <references count="1">
          <reference field="10" count="0" defaultSubtotal="1"/>
        </references>
      </pivotArea>
    </format>
    <format dxfId="6">
      <pivotArea dataOnly="0" labelOnly="1" grandRow="1" outline="0" fieldPosition="0"/>
    </format>
    <format dxfId="5">
      <pivotArea dataOnly="0" labelOnly="1" outline="0" fieldPosition="0">
        <references count="2">
          <reference field="6" count="0"/>
          <reference field="10" count="1" selected="0">
            <x v="0"/>
          </reference>
        </references>
      </pivotArea>
    </format>
    <format dxfId="4">
      <pivotArea dataOnly="0" labelOnly="1" outline="0" fieldPosition="0">
        <references count="2">
          <reference field="6" count="0"/>
          <reference field="10" count="1" selected="0">
            <x v="1"/>
          </reference>
        </references>
      </pivotArea>
    </format>
    <format dxfId="3">
      <pivotArea dataOnly="0" labelOnly="1" outline="0" fieldPosition="0">
        <references count="2">
          <reference field="6" count="0"/>
          <reference field="10" count="1" selected="0">
            <x v="2"/>
          </reference>
        </references>
      </pivotArea>
    </format>
    <format dxfId="2">
      <pivotArea dataOnly="0" labelOnly="1" outline="0" fieldPosition="0">
        <references count="2">
          <reference field="6" count="0"/>
          <reference field="10" count="1" selected="0">
            <x v="3"/>
          </reference>
        </references>
      </pivotArea>
    </format>
    <format dxfId="1">
      <pivotArea dataOnly="0" labelOnly="1" outline="0" fieldPosition="0">
        <references count="2">
          <reference field="6" count="0"/>
          <reference field="10" count="1" selected="0">
            <x v="4"/>
          </reference>
        </references>
      </pivotArea>
    </format>
    <format dxfId="0">
      <pivotArea dataOnly="0" labelOnly="1" outline="0" axis="axisValues"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4CF2A4-308B-4369-8CB6-3EB72ECD676A}"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B2:C7" firstHeaderRow="1" firstDataRow="1" firstDataCol="1"/>
  <pivotFields count="14">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4"/>
        <item x="2"/>
        <item h="1" x="1"/>
        <item x="3"/>
        <item t="default"/>
      </items>
    </pivotField>
    <pivotField compact="0" outline="0" showAll="0"/>
    <pivotField compact="0" numFmtId="164" outline="0" showAll="0"/>
    <pivotField dataField="1" compact="0" outline="0"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10"/>
  </rowFields>
  <rowItems count="5">
    <i>
      <x/>
    </i>
    <i>
      <x v="1"/>
    </i>
    <i>
      <x v="2"/>
    </i>
    <i>
      <x v="4"/>
    </i>
    <i t="grand">
      <x/>
    </i>
  </rowItems>
  <colItems count="1">
    <i/>
  </colItems>
  <dataFields count="1">
    <dataField name="Sum of Total_Amount" fld="13" baseField="0" baseItem="0"/>
  </dataFields>
  <formats count="6">
    <format dxfId="18">
      <pivotArea type="all" dataOnly="0" outline="0" fieldPosition="0"/>
    </format>
    <format dxfId="17">
      <pivotArea outline="0" collapsedLevelsAreSubtotals="1" fieldPosition="0"/>
    </format>
    <format dxfId="16">
      <pivotArea field="10" type="button" dataOnly="0" labelOnly="1" outline="0" axis="axisRow" fieldPosition="0"/>
    </format>
    <format dxfId="15">
      <pivotArea dataOnly="0" labelOnly="1" outline="0" fieldPosition="0">
        <references count="1">
          <reference field="10" count="0"/>
        </references>
      </pivotArea>
    </format>
    <format dxfId="14">
      <pivotArea dataOnly="0" labelOnly="1" grandRow="1" outline="0"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C09C4-EC09-46EF-A419-F5EE2FBA9BA9}" name="PivotTable3"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G2:H13" firstHeaderRow="1" firstDataRow="1" firstDataCol="1"/>
  <pivotFields count="14">
    <pivotField compact="0" outline="0" showAll="0"/>
    <pivotField compact="0" numFmtId="14" outline="0" showAll="0"/>
    <pivotField compact="0" outline="0" showAll="0"/>
    <pivotField compact="0" outline="0" showAll="0"/>
    <pivotField compact="0" outline="0" showAll="0"/>
    <pivotField axis="axisRow" compact="0" outline="0" showAll="0">
      <items count="11">
        <item x="1"/>
        <item x="2"/>
        <item x="7"/>
        <item x="6"/>
        <item x="3"/>
        <item x="8"/>
        <item x="4"/>
        <item x="0"/>
        <item x="9"/>
        <item x="5"/>
        <item t="default"/>
      </items>
    </pivotField>
    <pivotField compact="0" outline="0" showAll="0">
      <items count="4">
        <item x="1"/>
        <item x="0"/>
        <item x="2"/>
        <item t="default"/>
      </items>
    </pivotField>
    <pivotField dataField="1" compact="0" outline="0" showAll="0"/>
    <pivotField compact="0" outline="0" showAll="0"/>
    <pivotField compact="0" outline="0" showAll="0"/>
    <pivotField compact="0" outline="0" showAll="0">
      <items count="6">
        <item x="0"/>
        <item x="4"/>
        <item x="2"/>
        <item x="1"/>
        <item x="3"/>
        <item t="default"/>
      </items>
    </pivotField>
    <pivotField compact="0" outline="0" showAll="0"/>
    <pivotField compact="0" numFmtId="164" outline="0" showAll="0"/>
    <pivotField compact="0" outline="0"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formats count="6">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outline="0" fieldPosition="0">
        <references count="1">
          <reference field="5" count="0"/>
        </references>
      </pivotArea>
    </format>
    <format dxfId="20">
      <pivotArea dataOnly="0" labelOnly="1" grandRow="1" outline="0" fieldPosition="0"/>
    </format>
    <format dxfId="19">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D73741-5A7B-4CF7-B43F-271CEDA02562}" sourceName="Region">
  <pivotTables>
    <pivotTable tabId="18" name="PivotTable2"/>
  </pivotTables>
  <data>
    <tabular pivotCacheId="837262764">
      <items count="5">
        <i x="0" s="1"/>
        <i x="4" s="1"/>
        <i x="2" s="1"/>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3136E7-1999-4587-98C4-EFF36F276F87}" sourceName="Category">
  <pivotTables>
    <pivotTable tabId="18" name="PivotTable3"/>
  </pivotTables>
  <data>
    <tabular pivotCacheId="83726276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434A180-3385-49CD-9D85-D0ED923DC2A0}" sourceName="Category">
  <pivotTables>
    <pivotTable tabId="18" name="PivotTable7"/>
  </pivotTables>
  <data>
    <tabular pivotCacheId="83726276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1EAB2A-C487-4C60-AA5A-9025071F64E3}" sourceName="Region">
  <pivotTables>
    <pivotTable tabId="18" name="PivotTable7"/>
  </pivotTables>
  <data>
    <tabular pivotCacheId="83726276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16F51E-173C-4EF2-8388-FC1AC05B665E}" cache="Slicer_Region" caption="Region" columnCount="3" rowHeight="216000"/>
  <slicer name="Category" xr10:uid="{F7C93350-DC64-4FC3-B37A-5C71A364870C}" cache="Slicer_Category" caption="Category" rowHeight="234950"/>
  <slicer name="Category 1" xr10:uid="{9DBCEFAB-F692-41A2-8992-F6E36D8CDC35}" cache="Slicer_Category1" caption="Category" rowHeight="234950"/>
  <slicer name="Region 1" xr10:uid="{58A14D20-761C-41C0-94E5-3F3F70C1C821}"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A5BCF-877D-437C-B956-9F7C4C912A87}" name="Table1" displayName="Table1" ref="A1:N251" totalsRowShown="0" headerRowDxfId="26" dataDxfId="25" headerRowBorderDxfId="42" tableBorderDxfId="43" totalsRowBorderDxfId="41">
  <autoFilter ref="A1:N251" xr:uid="{DECA5BCF-877D-437C-B956-9F7C4C912A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3B69042-1E5A-4CEF-A05A-7BD79B104A34}" name="Transaction_ID" dataDxfId="40"/>
    <tableColumn id="2" xr3:uid="{B07B6327-8F3A-4464-B074-1192819C5851}" name="Date" dataDxfId="39"/>
    <tableColumn id="3" xr3:uid="{35A3F48B-4A6A-433A-A83C-AD11FDC52B15}" name="Customer_ID" dataDxfId="38"/>
    <tableColumn id="4" xr3:uid="{0161D518-F178-4BF7-833B-4366BD1A27A6}" name="Customer_Name" dataDxfId="37"/>
    <tableColumn id="5" xr3:uid="{0C476FC7-B04F-479D-B1F4-4B2AE22C6372}" name="Product_ID" dataDxfId="36"/>
    <tableColumn id="6" xr3:uid="{2ABDFC5F-9910-4784-A8BF-1441033EC528}" name="Product_Name" dataDxfId="35"/>
    <tableColumn id="7" xr3:uid="{4A1898D7-76DB-4B48-B8E6-623A5C527B81}" name="Category" dataDxfId="34"/>
    <tableColumn id="8" xr3:uid="{0CDE38C0-D573-48D0-A509-5064C95A5364}" name="Quantity" dataDxfId="33"/>
    <tableColumn id="9" xr3:uid="{596D43F9-4813-49CB-96C1-F9148770A7EB}" name="Unit_Price" dataDxfId="32"/>
    <tableColumn id="10" xr3:uid="{78F2C1E3-C7E0-424B-A86E-04FBC1C071D8}" name="Payment_Method" dataDxfId="31"/>
    <tableColumn id="11" xr3:uid="{591A3EE2-1575-41C5-A718-6B96BEA69374}" name="Region" dataDxfId="30"/>
    <tableColumn id="12" xr3:uid="{F28F7675-021B-4F89-99CF-1F743C22645F}" name="Customer_Segment" dataDxfId="29"/>
    <tableColumn id="13" xr3:uid="{BA6264D0-9302-4B6E-B1D1-15D88D3D5FA9}" name="Customer_Since" dataDxfId="28"/>
    <tableColumn id="14" xr3:uid="{0533F6D2-531D-41C8-BFF2-90B8C8957F4D}" name="Total_Amount" dataDxfId="27"/>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Q11" sqref="Q11"/>
    </sheetView>
  </sheetViews>
  <sheetFormatPr defaultColWidth="14.44140625" defaultRowHeight="15" customHeight="1" x14ac:dyDescent="0.3"/>
  <cols>
    <col min="1" max="1" width="15.5546875" customWidth="1"/>
    <col min="2" max="2" width="10.88671875" customWidth="1"/>
    <col min="3" max="3" width="14" customWidth="1"/>
    <col min="4" max="4" width="17.33203125" customWidth="1"/>
    <col min="5" max="5" width="12.33203125" customWidth="1"/>
    <col min="6" max="6" width="15.6640625" customWidth="1"/>
    <col min="7" max="7" width="10.5546875" customWidth="1"/>
    <col min="8" max="8" width="10.44140625" customWidth="1"/>
    <col min="9" max="9" width="12" customWidth="1"/>
    <col min="10" max="10" width="18.44140625" customWidth="1"/>
    <col min="11" max="11" width="8.88671875" customWidth="1"/>
    <col min="12" max="12" width="19.88671875" customWidth="1"/>
    <col min="13" max="13" width="16.77734375" customWidth="1"/>
    <col min="14" max="14" width="15.109375" customWidth="1"/>
    <col min="15" max="25" width="8.6640625" customWidth="1"/>
  </cols>
  <sheetData>
    <row r="1" spans="1:25" ht="14.4" x14ac:dyDescent="0.3">
      <c r="A1" s="3" t="s">
        <v>0</v>
      </c>
      <c r="B1" s="4" t="s">
        <v>1</v>
      </c>
      <c r="C1" s="4" t="s">
        <v>2</v>
      </c>
      <c r="D1" s="4" t="s">
        <v>3</v>
      </c>
      <c r="E1" s="4" t="s">
        <v>4</v>
      </c>
      <c r="F1" s="4" t="s">
        <v>5</v>
      </c>
      <c r="G1" s="4" t="s">
        <v>6</v>
      </c>
      <c r="H1" s="4" t="s">
        <v>7</v>
      </c>
      <c r="I1" s="4" t="s">
        <v>8</v>
      </c>
      <c r="J1" s="4" t="s">
        <v>9</v>
      </c>
      <c r="K1" s="4" t="s">
        <v>10</v>
      </c>
      <c r="L1" s="4" t="s">
        <v>11</v>
      </c>
      <c r="M1" s="4" t="s">
        <v>12</v>
      </c>
      <c r="N1" s="5" t="s">
        <v>13</v>
      </c>
      <c r="O1" s="1"/>
      <c r="P1" s="1"/>
      <c r="Q1" s="1"/>
      <c r="R1" s="1"/>
      <c r="S1" s="1"/>
      <c r="T1" s="1"/>
      <c r="U1" s="1"/>
      <c r="V1" s="1"/>
      <c r="W1" s="1"/>
      <c r="X1" s="1"/>
      <c r="Y1" s="1"/>
    </row>
    <row r="2" spans="1:25" ht="14.4" x14ac:dyDescent="0.3">
      <c r="A2" s="6" t="s">
        <v>14</v>
      </c>
      <c r="B2" s="15">
        <v>45393</v>
      </c>
      <c r="C2" s="8" t="s">
        <v>15</v>
      </c>
      <c r="D2" s="8" t="s">
        <v>16</v>
      </c>
      <c r="E2" s="8" t="s">
        <v>17</v>
      </c>
      <c r="F2" s="8" t="s">
        <v>18</v>
      </c>
      <c r="G2" s="8" t="s">
        <v>19</v>
      </c>
      <c r="H2" s="8">
        <v>3</v>
      </c>
      <c r="I2" s="8">
        <v>249.99</v>
      </c>
      <c r="J2" s="8" t="s">
        <v>20</v>
      </c>
      <c r="K2" s="8" t="s">
        <v>21</v>
      </c>
      <c r="L2" s="8" t="s">
        <v>22</v>
      </c>
      <c r="M2" s="7">
        <v>44425</v>
      </c>
      <c r="N2" s="9">
        <v>749.97</v>
      </c>
    </row>
    <row r="3" spans="1:25" ht="14.4" x14ac:dyDescent="0.3">
      <c r="A3" s="6" t="s">
        <v>23</v>
      </c>
      <c r="B3" s="15">
        <v>45394</v>
      </c>
      <c r="C3" s="8" t="s">
        <v>24</v>
      </c>
      <c r="D3" s="8" t="s">
        <v>25</v>
      </c>
      <c r="E3" s="8" t="s">
        <v>17</v>
      </c>
      <c r="F3" s="8" t="s">
        <v>18</v>
      </c>
      <c r="G3" s="8" t="s">
        <v>19</v>
      </c>
      <c r="H3" s="8">
        <v>3</v>
      </c>
      <c r="I3" s="8">
        <v>249.99</v>
      </c>
      <c r="J3" s="8" t="s">
        <v>26</v>
      </c>
      <c r="K3" s="8" t="s">
        <v>21</v>
      </c>
      <c r="L3" s="8" t="s">
        <v>27</v>
      </c>
      <c r="M3" s="7">
        <v>44575</v>
      </c>
      <c r="N3" s="9">
        <v>749.97</v>
      </c>
    </row>
    <row r="4" spans="1:25" ht="14.4" x14ac:dyDescent="0.3">
      <c r="A4" s="6" t="s">
        <v>28</v>
      </c>
      <c r="B4" s="15">
        <v>45395</v>
      </c>
      <c r="C4" s="8" t="s">
        <v>29</v>
      </c>
      <c r="D4" s="8" t="s">
        <v>30</v>
      </c>
      <c r="E4" s="8" t="s">
        <v>31</v>
      </c>
      <c r="F4" s="8" t="s">
        <v>32</v>
      </c>
      <c r="G4" s="8" t="s">
        <v>33</v>
      </c>
      <c r="H4" s="8">
        <v>3</v>
      </c>
      <c r="I4" s="8">
        <v>59.99</v>
      </c>
      <c r="J4" s="8" t="s">
        <v>34</v>
      </c>
      <c r="K4" s="8" t="s">
        <v>35</v>
      </c>
      <c r="L4" s="8" t="s">
        <v>36</v>
      </c>
      <c r="M4" s="7">
        <v>45262</v>
      </c>
      <c r="N4" s="9">
        <v>179.97</v>
      </c>
    </row>
    <row r="5" spans="1:25" ht="14.4" x14ac:dyDescent="0.3">
      <c r="A5" s="6" t="s">
        <v>37</v>
      </c>
      <c r="B5" s="15">
        <v>45396</v>
      </c>
      <c r="C5" s="8" t="s">
        <v>38</v>
      </c>
      <c r="D5" s="8" t="s">
        <v>39</v>
      </c>
      <c r="E5" s="8" t="s">
        <v>31</v>
      </c>
      <c r="F5" s="8" t="s">
        <v>32</v>
      </c>
      <c r="G5" s="8" t="s">
        <v>33</v>
      </c>
      <c r="H5" s="8">
        <v>3</v>
      </c>
      <c r="I5" s="8">
        <v>59.99</v>
      </c>
      <c r="J5" s="8" t="s">
        <v>20</v>
      </c>
      <c r="K5" s="8" t="s">
        <v>40</v>
      </c>
      <c r="L5" s="8" t="s">
        <v>27</v>
      </c>
      <c r="M5" s="7">
        <v>45114</v>
      </c>
      <c r="N5" s="9">
        <v>179.97</v>
      </c>
    </row>
    <row r="6" spans="1:25" ht="14.4" x14ac:dyDescent="0.3">
      <c r="A6" s="6" t="s">
        <v>41</v>
      </c>
      <c r="B6" s="15">
        <v>45397</v>
      </c>
      <c r="C6" s="8" t="s">
        <v>42</v>
      </c>
      <c r="D6" s="8" t="s">
        <v>43</v>
      </c>
      <c r="E6" s="8" t="s">
        <v>44</v>
      </c>
      <c r="F6" s="8" t="s">
        <v>45</v>
      </c>
      <c r="G6" s="8" t="s">
        <v>46</v>
      </c>
      <c r="H6" s="8">
        <v>5</v>
      </c>
      <c r="I6" s="8">
        <v>149.99</v>
      </c>
      <c r="J6" s="8" t="s">
        <v>26</v>
      </c>
      <c r="K6" s="8" t="s">
        <v>40</v>
      </c>
      <c r="L6" s="8" t="s">
        <v>27</v>
      </c>
      <c r="M6" s="7">
        <v>45295</v>
      </c>
      <c r="N6" s="9">
        <v>749.95</v>
      </c>
    </row>
    <row r="7" spans="1:25" ht="14.4" x14ac:dyDescent="0.3">
      <c r="A7" s="6" t="s">
        <v>47</v>
      </c>
      <c r="B7" s="15">
        <v>45398</v>
      </c>
      <c r="C7" s="8" t="s">
        <v>48</v>
      </c>
      <c r="D7" s="8" t="s">
        <v>49</v>
      </c>
      <c r="E7" s="8" t="s">
        <v>31</v>
      </c>
      <c r="F7" s="8" t="s">
        <v>32</v>
      </c>
      <c r="G7" s="8" t="s">
        <v>33</v>
      </c>
      <c r="H7" s="8">
        <v>2</v>
      </c>
      <c r="I7" s="8">
        <v>59.99</v>
      </c>
      <c r="J7" s="8" t="s">
        <v>20</v>
      </c>
      <c r="K7" s="8" t="s">
        <v>50</v>
      </c>
      <c r="L7" s="8" t="s">
        <v>36</v>
      </c>
      <c r="M7" s="7">
        <v>44746</v>
      </c>
      <c r="N7" s="9">
        <v>119.98</v>
      </c>
    </row>
    <row r="8" spans="1:25" ht="14.4" x14ac:dyDescent="0.3">
      <c r="A8" s="6" t="s">
        <v>51</v>
      </c>
      <c r="B8" s="15">
        <v>45399</v>
      </c>
      <c r="C8" s="8" t="s">
        <v>48</v>
      </c>
      <c r="D8" s="8" t="s">
        <v>49</v>
      </c>
      <c r="E8" s="8" t="s">
        <v>52</v>
      </c>
      <c r="F8" s="8" t="s">
        <v>53</v>
      </c>
      <c r="G8" s="8" t="s">
        <v>19</v>
      </c>
      <c r="H8" s="8">
        <v>5</v>
      </c>
      <c r="I8" s="8">
        <v>149.99</v>
      </c>
      <c r="J8" s="8" t="s">
        <v>26</v>
      </c>
      <c r="K8" s="8" t="s">
        <v>21</v>
      </c>
      <c r="L8" s="8" t="s">
        <v>36</v>
      </c>
      <c r="M8" s="7">
        <v>44418</v>
      </c>
      <c r="N8" s="9">
        <v>749.95</v>
      </c>
    </row>
    <row r="9" spans="1:25" ht="14.4" x14ac:dyDescent="0.3">
      <c r="A9" s="6" t="s">
        <v>54</v>
      </c>
      <c r="B9" s="15">
        <v>45400</v>
      </c>
      <c r="C9" s="8" t="s">
        <v>55</v>
      </c>
      <c r="D9" s="8" t="s">
        <v>56</v>
      </c>
      <c r="E9" s="8" t="s">
        <v>31</v>
      </c>
      <c r="F9" s="8" t="s">
        <v>32</v>
      </c>
      <c r="G9" s="8" t="s">
        <v>33</v>
      </c>
      <c r="H9" s="8">
        <v>3</v>
      </c>
      <c r="I9" s="8">
        <v>59.99</v>
      </c>
      <c r="J9" s="8" t="s">
        <v>57</v>
      </c>
      <c r="K9" s="8" t="s">
        <v>35</v>
      </c>
      <c r="L9" s="8" t="s">
        <v>22</v>
      </c>
      <c r="M9" s="7">
        <v>45007</v>
      </c>
      <c r="N9" s="9">
        <v>179.97</v>
      </c>
    </row>
    <row r="10" spans="1:25" ht="14.4" x14ac:dyDescent="0.3">
      <c r="A10" s="6" t="s">
        <v>58</v>
      </c>
      <c r="B10" s="15">
        <v>45401</v>
      </c>
      <c r="C10" s="8" t="s">
        <v>59</v>
      </c>
      <c r="D10" s="8" t="s">
        <v>60</v>
      </c>
      <c r="E10" s="8" t="s">
        <v>61</v>
      </c>
      <c r="F10" s="8" t="s">
        <v>62</v>
      </c>
      <c r="G10" s="8" t="s">
        <v>19</v>
      </c>
      <c r="H10" s="8">
        <v>3</v>
      </c>
      <c r="I10" s="8">
        <v>899.99</v>
      </c>
      <c r="J10" s="8" t="s">
        <v>34</v>
      </c>
      <c r="K10" s="8" t="s">
        <v>63</v>
      </c>
      <c r="L10" s="8" t="s">
        <v>36</v>
      </c>
      <c r="M10" s="7">
        <v>45299</v>
      </c>
      <c r="N10" s="9">
        <v>2699.97</v>
      </c>
    </row>
    <row r="11" spans="1:25" ht="14.4" x14ac:dyDescent="0.3">
      <c r="A11" s="6" t="s">
        <v>64</v>
      </c>
      <c r="B11" s="15">
        <v>45402</v>
      </c>
      <c r="C11" s="8" t="s">
        <v>65</v>
      </c>
      <c r="D11" s="8" t="s">
        <v>66</v>
      </c>
      <c r="E11" s="8" t="s">
        <v>31</v>
      </c>
      <c r="F11" s="8" t="s">
        <v>32</v>
      </c>
      <c r="G11" s="8" t="s">
        <v>33</v>
      </c>
      <c r="H11" s="8">
        <v>3</v>
      </c>
      <c r="I11" s="8">
        <v>59.99</v>
      </c>
      <c r="J11" s="8" t="s">
        <v>20</v>
      </c>
      <c r="K11" s="8" t="s">
        <v>50</v>
      </c>
      <c r="L11" s="8" t="s">
        <v>27</v>
      </c>
      <c r="M11" s="7">
        <v>45207</v>
      </c>
      <c r="N11" s="9">
        <v>179.97</v>
      </c>
    </row>
    <row r="12" spans="1:25" ht="14.4" x14ac:dyDescent="0.3">
      <c r="A12" s="6" t="s">
        <v>67</v>
      </c>
      <c r="B12" s="15">
        <v>45403</v>
      </c>
      <c r="C12" s="8" t="s">
        <v>68</v>
      </c>
      <c r="D12" s="8" t="s">
        <v>69</v>
      </c>
      <c r="E12" s="8" t="s">
        <v>44</v>
      </c>
      <c r="F12" s="8" t="s">
        <v>45</v>
      </c>
      <c r="G12" s="8" t="s">
        <v>46</v>
      </c>
      <c r="H12" s="8">
        <v>1</v>
      </c>
      <c r="I12" s="8">
        <v>149.99</v>
      </c>
      <c r="J12" s="8" t="s">
        <v>26</v>
      </c>
      <c r="K12" s="8" t="s">
        <v>50</v>
      </c>
      <c r="L12" s="8" t="s">
        <v>36</v>
      </c>
      <c r="M12" s="7">
        <v>45103</v>
      </c>
      <c r="N12" s="9">
        <v>149.99</v>
      </c>
    </row>
    <row r="13" spans="1:25" ht="14.4" x14ac:dyDescent="0.3">
      <c r="A13" s="6" t="s">
        <v>70</v>
      </c>
      <c r="B13" s="15">
        <v>45404</v>
      </c>
      <c r="C13" s="8" t="s">
        <v>38</v>
      </c>
      <c r="D13" s="8" t="s">
        <v>39</v>
      </c>
      <c r="E13" s="8" t="s">
        <v>44</v>
      </c>
      <c r="F13" s="8" t="s">
        <v>45</v>
      </c>
      <c r="G13" s="8" t="s">
        <v>46</v>
      </c>
      <c r="H13" s="8">
        <v>5</v>
      </c>
      <c r="I13" s="8">
        <v>149.99</v>
      </c>
      <c r="J13" s="8" t="s">
        <v>57</v>
      </c>
      <c r="K13" s="8" t="s">
        <v>40</v>
      </c>
      <c r="L13" s="8" t="s">
        <v>22</v>
      </c>
      <c r="M13" s="7">
        <v>44830</v>
      </c>
      <c r="N13" s="9">
        <v>749.95</v>
      </c>
    </row>
    <row r="14" spans="1:25" ht="14.4" x14ac:dyDescent="0.3">
      <c r="A14" s="6" t="s">
        <v>71</v>
      </c>
      <c r="B14" s="15">
        <v>45405</v>
      </c>
      <c r="C14" s="8" t="s">
        <v>72</v>
      </c>
      <c r="D14" s="8" t="s">
        <v>73</v>
      </c>
      <c r="E14" s="8" t="s">
        <v>44</v>
      </c>
      <c r="F14" s="8" t="s">
        <v>45</v>
      </c>
      <c r="G14" s="8" t="s">
        <v>46</v>
      </c>
      <c r="H14" s="8">
        <v>3</v>
      </c>
      <c r="I14" s="8">
        <v>149.99</v>
      </c>
      <c r="J14" s="8" t="s">
        <v>20</v>
      </c>
      <c r="K14" s="8" t="s">
        <v>40</v>
      </c>
      <c r="L14" s="8" t="s">
        <v>27</v>
      </c>
      <c r="M14" s="7">
        <v>44806</v>
      </c>
      <c r="N14" s="9">
        <v>449.97</v>
      </c>
    </row>
    <row r="15" spans="1:25" ht="14.4" x14ac:dyDescent="0.3">
      <c r="A15" s="6" t="s">
        <v>74</v>
      </c>
      <c r="B15" s="15">
        <v>45406</v>
      </c>
      <c r="C15" s="8" t="s">
        <v>75</v>
      </c>
      <c r="D15" s="8" t="s">
        <v>76</v>
      </c>
      <c r="E15" s="8" t="s">
        <v>31</v>
      </c>
      <c r="F15" s="8" t="s">
        <v>32</v>
      </c>
      <c r="G15" s="8" t="s">
        <v>33</v>
      </c>
      <c r="H15" s="8">
        <v>3</v>
      </c>
      <c r="I15" s="8">
        <v>59.99</v>
      </c>
      <c r="J15" s="8" t="s">
        <v>26</v>
      </c>
      <c r="K15" s="8" t="s">
        <v>40</v>
      </c>
      <c r="L15" s="8" t="s">
        <v>36</v>
      </c>
      <c r="M15" s="7">
        <v>45351</v>
      </c>
      <c r="N15" s="9">
        <v>179.97</v>
      </c>
    </row>
    <row r="16" spans="1:25" ht="14.4" x14ac:dyDescent="0.3">
      <c r="A16" s="6" t="s">
        <v>77</v>
      </c>
      <c r="B16" s="15">
        <v>45407</v>
      </c>
      <c r="C16" s="8" t="s">
        <v>78</v>
      </c>
      <c r="D16" s="8" t="s">
        <v>79</v>
      </c>
      <c r="E16" s="8" t="s">
        <v>80</v>
      </c>
      <c r="F16" s="8" t="s">
        <v>81</v>
      </c>
      <c r="G16" s="8" t="s">
        <v>19</v>
      </c>
      <c r="H16" s="8">
        <v>3</v>
      </c>
      <c r="I16" s="8">
        <v>699.99</v>
      </c>
      <c r="J16" s="8" t="s">
        <v>26</v>
      </c>
      <c r="K16" s="8" t="s">
        <v>50</v>
      </c>
      <c r="L16" s="8" t="s">
        <v>22</v>
      </c>
      <c r="M16" s="7">
        <v>44577</v>
      </c>
      <c r="N16" s="9">
        <v>2099.9699999999998</v>
      </c>
    </row>
    <row r="17" spans="1:14" ht="14.4" x14ac:dyDescent="0.3">
      <c r="A17" s="6" t="s">
        <v>82</v>
      </c>
      <c r="B17" s="15">
        <v>45408</v>
      </c>
      <c r="C17" s="8" t="s">
        <v>83</v>
      </c>
      <c r="D17" s="8" t="s">
        <v>84</v>
      </c>
      <c r="E17" s="8" t="s">
        <v>61</v>
      </c>
      <c r="F17" s="8" t="s">
        <v>62</v>
      </c>
      <c r="G17" s="8" t="s">
        <v>19</v>
      </c>
      <c r="H17" s="8">
        <v>1</v>
      </c>
      <c r="I17" s="8">
        <v>899.99</v>
      </c>
      <c r="J17" s="8" t="s">
        <v>57</v>
      </c>
      <c r="K17" s="8" t="s">
        <v>40</v>
      </c>
      <c r="L17" s="8" t="s">
        <v>36</v>
      </c>
      <c r="M17" s="7">
        <v>44920</v>
      </c>
      <c r="N17" s="9">
        <v>899.99</v>
      </c>
    </row>
    <row r="18" spans="1:14" ht="14.4" x14ac:dyDescent="0.3">
      <c r="A18" s="6" t="s">
        <v>85</v>
      </c>
      <c r="B18" s="15">
        <v>45409</v>
      </c>
      <c r="C18" s="8" t="s">
        <v>86</v>
      </c>
      <c r="D18" s="8" t="s">
        <v>87</v>
      </c>
      <c r="E18" s="8" t="s">
        <v>44</v>
      </c>
      <c r="F18" s="8" t="s">
        <v>45</v>
      </c>
      <c r="G18" s="8" t="s">
        <v>46</v>
      </c>
      <c r="H18" s="8">
        <v>4</v>
      </c>
      <c r="I18" s="8">
        <v>149.99</v>
      </c>
      <c r="J18" s="8" t="s">
        <v>57</v>
      </c>
      <c r="K18" s="8" t="s">
        <v>40</v>
      </c>
      <c r="L18" s="8" t="s">
        <v>27</v>
      </c>
      <c r="M18" s="7">
        <v>45374</v>
      </c>
      <c r="N18" s="9">
        <v>599.96</v>
      </c>
    </row>
    <row r="19" spans="1:14" ht="14.4" x14ac:dyDescent="0.3">
      <c r="A19" s="6" t="s">
        <v>88</v>
      </c>
      <c r="B19" s="15">
        <v>45410</v>
      </c>
      <c r="C19" s="8" t="s">
        <v>89</v>
      </c>
      <c r="D19" s="8" t="s">
        <v>90</v>
      </c>
      <c r="E19" s="8" t="s">
        <v>80</v>
      </c>
      <c r="F19" s="8" t="s">
        <v>81</v>
      </c>
      <c r="G19" s="8" t="s">
        <v>19</v>
      </c>
      <c r="H19" s="8">
        <v>2</v>
      </c>
      <c r="I19" s="8">
        <v>699.99</v>
      </c>
      <c r="J19" s="8" t="s">
        <v>20</v>
      </c>
      <c r="K19" s="8" t="s">
        <v>40</v>
      </c>
      <c r="L19" s="8" t="s">
        <v>22</v>
      </c>
      <c r="M19" s="7">
        <v>44781</v>
      </c>
      <c r="N19" s="9">
        <v>1399.98</v>
      </c>
    </row>
    <row r="20" spans="1:14" ht="14.4" x14ac:dyDescent="0.3">
      <c r="A20" s="6" t="s">
        <v>91</v>
      </c>
      <c r="B20" s="15">
        <v>45411</v>
      </c>
      <c r="C20" s="8" t="s">
        <v>86</v>
      </c>
      <c r="D20" s="8" t="s">
        <v>87</v>
      </c>
      <c r="E20" s="8" t="s">
        <v>61</v>
      </c>
      <c r="F20" s="8" t="s">
        <v>62</v>
      </c>
      <c r="G20" s="8" t="s">
        <v>19</v>
      </c>
      <c r="H20" s="8">
        <v>4</v>
      </c>
      <c r="I20" s="8">
        <v>899.99</v>
      </c>
      <c r="J20" s="8" t="s">
        <v>26</v>
      </c>
      <c r="K20" s="8" t="s">
        <v>50</v>
      </c>
      <c r="L20" s="8" t="s">
        <v>36</v>
      </c>
      <c r="M20" s="7">
        <v>45327</v>
      </c>
      <c r="N20" s="9">
        <v>3599.96</v>
      </c>
    </row>
    <row r="21" spans="1:14" ht="15.75" customHeight="1" x14ac:dyDescent="0.3">
      <c r="A21" s="6" t="s">
        <v>92</v>
      </c>
      <c r="B21" s="15">
        <v>45412</v>
      </c>
      <c r="C21" s="8" t="s">
        <v>93</v>
      </c>
      <c r="D21" s="8" t="s">
        <v>94</v>
      </c>
      <c r="E21" s="8" t="s">
        <v>17</v>
      </c>
      <c r="F21" s="8" t="s">
        <v>18</v>
      </c>
      <c r="G21" s="8" t="s">
        <v>19</v>
      </c>
      <c r="H21" s="8">
        <v>3</v>
      </c>
      <c r="I21" s="8">
        <v>249.99</v>
      </c>
      <c r="J21" s="8" t="s">
        <v>26</v>
      </c>
      <c r="K21" s="8" t="s">
        <v>40</v>
      </c>
      <c r="L21" s="8" t="s">
        <v>27</v>
      </c>
      <c r="M21" s="7">
        <v>45224</v>
      </c>
      <c r="N21" s="9">
        <v>749.97</v>
      </c>
    </row>
    <row r="22" spans="1:14" ht="15.75" customHeight="1" x14ac:dyDescent="0.3">
      <c r="A22" s="6" t="s">
        <v>95</v>
      </c>
      <c r="B22" s="15">
        <v>45413</v>
      </c>
      <c r="C22" s="8" t="s">
        <v>96</v>
      </c>
      <c r="D22" s="8" t="s">
        <v>97</v>
      </c>
      <c r="E22" s="8" t="s">
        <v>80</v>
      </c>
      <c r="F22" s="8" t="s">
        <v>81</v>
      </c>
      <c r="G22" s="8" t="s">
        <v>19</v>
      </c>
      <c r="H22" s="8">
        <v>5</v>
      </c>
      <c r="I22" s="8">
        <v>699.99</v>
      </c>
      <c r="J22" s="8" t="s">
        <v>20</v>
      </c>
      <c r="K22" s="8" t="s">
        <v>50</v>
      </c>
      <c r="L22" s="8" t="s">
        <v>22</v>
      </c>
      <c r="M22" s="7">
        <v>45167</v>
      </c>
      <c r="N22" s="9">
        <v>3499.95</v>
      </c>
    </row>
    <row r="23" spans="1:14" ht="15.75" customHeight="1" x14ac:dyDescent="0.3">
      <c r="A23" s="6" t="s">
        <v>98</v>
      </c>
      <c r="B23" s="15">
        <v>45414</v>
      </c>
      <c r="C23" s="8" t="s">
        <v>99</v>
      </c>
      <c r="D23" s="8" t="s">
        <v>100</v>
      </c>
      <c r="E23" s="8" t="s">
        <v>80</v>
      </c>
      <c r="F23" s="8" t="s">
        <v>81</v>
      </c>
      <c r="G23" s="8" t="s">
        <v>19</v>
      </c>
      <c r="H23" s="8">
        <v>4</v>
      </c>
      <c r="I23" s="8">
        <v>699.99</v>
      </c>
      <c r="J23" s="8" t="s">
        <v>20</v>
      </c>
      <c r="K23" s="8" t="s">
        <v>63</v>
      </c>
      <c r="L23" s="8" t="s">
        <v>36</v>
      </c>
      <c r="M23" s="7">
        <v>44409</v>
      </c>
      <c r="N23" s="9">
        <v>2799.96</v>
      </c>
    </row>
    <row r="24" spans="1:14" ht="15.75" customHeight="1" x14ac:dyDescent="0.3">
      <c r="A24" s="6" t="s">
        <v>101</v>
      </c>
      <c r="B24" s="15">
        <v>45415</v>
      </c>
      <c r="C24" s="8" t="s">
        <v>102</v>
      </c>
      <c r="D24" s="8" t="s">
        <v>103</v>
      </c>
      <c r="E24" s="8" t="s">
        <v>17</v>
      </c>
      <c r="F24" s="8" t="s">
        <v>18</v>
      </c>
      <c r="G24" s="8" t="s">
        <v>19</v>
      </c>
      <c r="H24" s="8">
        <v>4</v>
      </c>
      <c r="I24" s="8">
        <v>249.99</v>
      </c>
      <c r="J24" s="8" t="s">
        <v>34</v>
      </c>
      <c r="K24" s="8" t="s">
        <v>40</v>
      </c>
      <c r="L24" s="8" t="s">
        <v>36</v>
      </c>
      <c r="M24" s="7">
        <v>44468</v>
      </c>
      <c r="N24" s="9">
        <v>999.96</v>
      </c>
    </row>
    <row r="25" spans="1:14" ht="15.75" customHeight="1" x14ac:dyDescent="0.3">
      <c r="A25" s="6" t="s">
        <v>104</v>
      </c>
      <c r="B25" s="15">
        <v>45416</v>
      </c>
      <c r="C25" s="8" t="s">
        <v>86</v>
      </c>
      <c r="D25" s="8" t="s">
        <v>87</v>
      </c>
      <c r="E25" s="8" t="s">
        <v>105</v>
      </c>
      <c r="F25" s="8" t="s">
        <v>106</v>
      </c>
      <c r="G25" s="8" t="s">
        <v>46</v>
      </c>
      <c r="H25" s="8">
        <v>4</v>
      </c>
      <c r="I25" s="8">
        <v>299.99</v>
      </c>
      <c r="J25" s="8" t="s">
        <v>20</v>
      </c>
      <c r="K25" s="8" t="s">
        <v>50</v>
      </c>
      <c r="L25" s="8" t="s">
        <v>27</v>
      </c>
      <c r="M25" s="7">
        <v>44716</v>
      </c>
      <c r="N25" s="9">
        <v>1199.96</v>
      </c>
    </row>
    <row r="26" spans="1:14" ht="15.75" customHeight="1" x14ac:dyDescent="0.3">
      <c r="A26" s="6" t="s">
        <v>107</v>
      </c>
      <c r="B26" s="15">
        <v>45417</v>
      </c>
      <c r="C26" s="8" t="s">
        <v>108</v>
      </c>
      <c r="D26" s="8" t="s">
        <v>109</v>
      </c>
      <c r="E26" s="8" t="s">
        <v>17</v>
      </c>
      <c r="F26" s="8" t="s">
        <v>18</v>
      </c>
      <c r="G26" s="8" t="s">
        <v>19</v>
      </c>
      <c r="H26" s="8">
        <v>5</v>
      </c>
      <c r="I26" s="8">
        <v>249.99</v>
      </c>
      <c r="J26" s="8" t="s">
        <v>26</v>
      </c>
      <c r="K26" s="8" t="s">
        <v>50</v>
      </c>
      <c r="L26" s="8" t="s">
        <v>36</v>
      </c>
      <c r="M26" s="7">
        <v>44525</v>
      </c>
      <c r="N26" s="9">
        <v>1249.95</v>
      </c>
    </row>
    <row r="27" spans="1:14" ht="15.75" customHeight="1" x14ac:dyDescent="0.3">
      <c r="A27" s="6" t="s">
        <v>110</v>
      </c>
      <c r="B27" s="15">
        <v>45418</v>
      </c>
      <c r="C27" s="8" t="s">
        <v>68</v>
      </c>
      <c r="D27" s="8" t="s">
        <v>69</v>
      </c>
      <c r="E27" s="8" t="s">
        <v>105</v>
      </c>
      <c r="F27" s="8" t="s">
        <v>106</v>
      </c>
      <c r="G27" s="8" t="s">
        <v>46</v>
      </c>
      <c r="H27" s="8">
        <v>5</v>
      </c>
      <c r="I27" s="8">
        <v>299.99</v>
      </c>
      <c r="J27" s="8" t="s">
        <v>34</v>
      </c>
      <c r="K27" s="8" t="s">
        <v>63</v>
      </c>
      <c r="L27" s="8" t="s">
        <v>22</v>
      </c>
      <c r="M27" s="7">
        <v>45168</v>
      </c>
      <c r="N27" s="9">
        <v>1499.95</v>
      </c>
    </row>
    <row r="28" spans="1:14" ht="15.75" customHeight="1" x14ac:dyDescent="0.3">
      <c r="A28" s="6" t="s">
        <v>111</v>
      </c>
      <c r="B28" s="15">
        <v>45419</v>
      </c>
      <c r="C28" s="8" t="s">
        <v>112</v>
      </c>
      <c r="D28" s="8" t="s">
        <v>113</v>
      </c>
      <c r="E28" s="8" t="s">
        <v>114</v>
      </c>
      <c r="F28" s="8" t="s">
        <v>115</v>
      </c>
      <c r="G28" s="8" t="s">
        <v>33</v>
      </c>
      <c r="H28" s="8">
        <v>3</v>
      </c>
      <c r="I28" s="8">
        <v>79.989999999999995</v>
      </c>
      <c r="J28" s="8" t="s">
        <v>34</v>
      </c>
      <c r="K28" s="8" t="s">
        <v>63</v>
      </c>
      <c r="L28" s="8" t="s">
        <v>27</v>
      </c>
      <c r="M28" s="7">
        <v>45012</v>
      </c>
      <c r="N28" s="9">
        <v>239.97</v>
      </c>
    </row>
    <row r="29" spans="1:14" ht="15.75" customHeight="1" x14ac:dyDescent="0.3">
      <c r="A29" s="6" t="s">
        <v>116</v>
      </c>
      <c r="B29" s="15">
        <v>45420</v>
      </c>
      <c r="C29" s="8" t="s">
        <v>99</v>
      </c>
      <c r="D29" s="8" t="s">
        <v>100</v>
      </c>
      <c r="E29" s="8" t="s">
        <v>117</v>
      </c>
      <c r="F29" s="8" t="s">
        <v>118</v>
      </c>
      <c r="G29" s="8" t="s">
        <v>19</v>
      </c>
      <c r="H29" s="8">
        <v>5</v>
      </c>
      <c r="I29" s="8">
        <v>89.99</v>
      </c>
      <c r="J29" s="8" t="s">
        <v>20</v>
      </c>
      <c r="K29" s="8" t="s">
        <v>40</v>
      </c>
      <c r="L29" s="8" t="s">
        <v>27</v>
      </c>
      <c r="M29" s="7">
        <v>44919</v>
      </c>
      <c r="N29" s="9">
        <v>449.95</v>
      </c>
    </row>
    <row r="30" spans="1:14" ht="15.75" customHeight="1" x14ac:dyDescent="0.3">
      <c r="A30" s="6" t="s">
        <v>119</v>
      </c>
      <c r="B30" s="15">
        <v>45421</v>
      </c>
      <c r="C30" s="8" t="s">
        <v>120</v>
      </c>
      <c r="D30" s="8" t="s">
        <v>121</v>
      </c>
      <c r="E30" s="8" t="s">
        <v>31</v>
      </c>
      <c r="F30" s="8" t="s">
        <v>32</v>
      </c>
      <c r="G30" s="8" t="s">
        <v>33</v>
      </c>
      <c r="H30" s="8">
        <v>2</v>
      </c>
      <c r="I30" s="8">
        <v>59.99</v>
      </c>
      <c r="J30" s="8" t="s">
        <v>57</v>
      </c>
      <c r="K30" s="8" t="s">
        <v>21</v>
      </c>
      <c r="L30" s="8" t="s">
        <v>36</v>
      </c>
      <c r="M30" s="7">
        <v>45214</v>
      </c>
      <c r="N30" s="9">
        <v>119.98</v>
      </c>
    </row>
    <row r="31" spans="1:14" ht="15.75" customHeight="1" x14ac:dyDescent="0.3">
      <c r="A31" s="6" t="s">
        <v>122</v>
      </c>
      <c r="B31" s="15">
        <v>45422</v>
      </c>
      <c r="C31" s="8" t="s">
        <v>123</v>
      </c>
      <c r="D31" s="8" t="s">
        <v>124</v>
      </c>
      <c r="E31" s="8" t="s">
        <v>31</v>
      </c>
      <c r="F31" s="8" t="s">
        <v>32</v>
      </c>
      <c r="G31" s="8" t="s">
        <v>33</v>
      </c>
      <c r="H31" s="8">
        <v>4</v>
      </c>
      <c r="I31" s="8">
        <v>59.99</v>
      </c>
      <c r="J31" s="8" t="s">
        <v>57</v>
      </c>
      <c r="K31" s="8" t="s">
        <v>63</v>
      </c>
      <c r="L31" s="8" t="s">
        <v>36</v>
      </c>
      <c r="M31" s="7">
        <v>44867</v>
      </c>
      <c r="N31" s="9">
        <v>239.96</v>
      </c>
    </row>
    <row r="32" spans="1:14" ht="15.75" customHeight="1" x14ac:dyDescent="0.3">
      <c r="A32" s="6" t="s">
        <v>125</v>
      </c>
      <c r="B32" s="15">
        <v>45423</v>
      </c>
      <c r="C32" s="8" t="s">
        <v>55</v>
      </c>
      <c r="D32" s="8" t="s">
        <v>56</v>
      </c>
      <c r="E32" s="8" t="s">
        <v>126</v>
      </c>
      <c r="F32" s="8" t="s">
        <v>127</v>
      </c>
      <c r="G32" s="8" t="s">
        <v>46</v>
      </c>
      <c r="H32" s="8">
        <v>5</v>
      </c>
      <c r="I32" s="8">
        <v>199.99</v>
      </c>
      <c r="J32" s="8" t="s">
        <v>20</v>
      </c>
      <c r="K32" s="8" t="s">
        <v>35</v>
      </c>
      <c r="L32" s="8" t="s">
        <v>36</v>
      </c>
      <c r="M32" s="7">
        <v>44412</v>
      </c>
      <c r="N32" s="9">
        <v>999.95</v>
      </c>
    </row>
    <row r="33" spans="1:14" ht="15.75" customHeight="1" x14ac:dyDescent="0.3">
      <c r="A33" s="6" t="s">
        <v>128</v>
      </c>
      <c r="B33" s="15">
        <v>45424</v>
      </c>
      <c r="C33" s="8" t="s">
        <v>129</v>
      </c>
      <c r="D33" s="8" t="s">
        <v>130</v>
      </c>
      <c r="E33" s="8" t="s">
        <v>44</v>
      </c>
      <c r="F33" s="8" t="s">
        <v>45</v>
      </c>
      <c r="G33" s="8" t="s">
        <v>46</v>
      </c>
      <c r="H33" s="8">
        <v>2</v>
      </c>
      <c r="I33" s="8">
        <v>149.99</v>
      </c>
      <c r="J33" s="8" t="s">
        <v>26</v>
      </c>
      <c r="K33" s="8" t="s">
        <v>50</v>
      </c>
      <c r="L33" s="8" t="s">
        <v>22</v>
      </c>
      <c r="M33" s="7">
        <v>44823</v>
      </c>
      <c r="N33" s="9">
        <v>299.98</v>
      </c>
    </row>
    <row r="34" spans="1:14" ht="15.75" customHeight="1" x14ac:dyDescent="0.3">
      <c r="A34" s="6" t="s">
        <v>131</v>
      </c>
      <c r="B34" s="15">
        <v>45425</v>
      </c>
      <c r="C34" s="8" t="s">
        <v>132</v>
      </c>
      <c r="D34" s="8" t="s">
        <v>133</v>
      </c>
      <c r="E34" s="8" t="s">
        <v>44</v>
      </c>
      <c r="F34" s="8" t="s">
        <v>45</v>
      </c>
      <c r="G34" s="8" t="s">
        <v>46</v>
      </c>
      <c r="H34" s="8">
        <v>3</v>
      </c>
      <c r="I34" s="8">
        <v>149.99</v>
      </c>
      <c r="J34" s="8" t="s">
        <v>26</v>
      </c>
      <c r="K34" s="8" t="s">
        <v>50</v>
      </c>
      <c r="L34" s="8" t="s">
        <v>27</v>
      </c>
      <c r="M34" s="7">
        <v>45068</v>
      </c>
      <c r="N34" s="9">
        <v>449.97</v>
      </c>
    </row>
    <row r="35" spans="1:14" ht="15.75" customHeight="1" x14ac:dyDescent="0.3">
      <c r="A35" s="6" t="s">
        <v>134</v>
      </c>
      <c r="B35" s="15">
        <v>45426</v>
      </c>
      <c r="C35" s="8" t="s">
        <v>29</v>
      </c>
      <c r="D35" s="8" t="s">
        <v>30</v>
      </c>
      <c r="E35" s="8" t="s">
        <v>61</v>
      </c>
      <c r="F35" s="8" t="s">
        <v>62</v>
      </c>
      <c r="G35" s="8" t="s">
        <v>19</v>
      </c>
      <c r="H35" s="8">
        <v>1</v>
      </c>
      <c r="I35" s="8">
        <v>899.99</v>
      </c>
      <c r="J35" s="8" t="s">
        <v>26</v>
      </c>
      <c r="K35" s="8" t="s">
        <v>50</v>
      </c>
      <c r="L35" s="8" t="s">
        <v>27</v>
      </c>
      <c r="M35" s="7">
        <v>44578</v>
      </c>
      <c r="N35" s="9">
        <v>899.99</v>
      </c>
    </row>
    <row r="36" spans="1:14" ht="15.75" customHeight="1" x14ac:dyDescent="0.3">
      <c r="A36" s="6" t="s">
        <v>135</v>
      </c>
      <c r="B36" s="15">
        <v>45427</v>
      </c>
      <c r="C36" s="8" t="s">
        <v>99</v>
      </c>
      <c r="D36" s="8" t="s">
        <v>100</v>
      </c>
      <c r="E36" s="8" t="s">
        <v>105</v>
      </c>
      <c r="F36" s="8" t="s">
        <v>106</v>
      </c>
      <c r="G36" s="8" t="s">
        <v>46</v>
      </c>
      <c r="H36" s="8">
        <v>3</v>
      </c>
      <c r="I36" s="8">
        <v>299.99</v>
      </c>
      <c r="J36" s="8" t="s">
        <v>26</v>
      </c>
      <c r="K36" s="8" t="s">
        <v>63</v>
      </c>
      <c r="L36" s="8" t="s">
        <v>22</v>
      </c>
      <c r="M36" s="7">
        <v>44824</v>
      </c>
      <c r="N36" s="9">
        <v>899.97</v>
      </c>
    </row>
    <row r="37" spans="1:14" ht="15.75" customHeight="1" x14ac:dyDescent="0.3">
      <c r="A37" s="6" t="s">
        <v>136</v>
      </c>
      <c r="B37" s="15">
        <v>45428</v>
      </c>
      <c r="C37" s="8" t="s">
        <v>129</v>
      </c>
      <c r="D37" s="8" t="s">
        <v>130</v>
      </c>
      <c r="E37" s="8" t="s">
        <v>114</v>
      </c>
      <c r="F37" s="8" t="s">
        <v>115</v>
      </c>
      <c r="G37" s="8" t="s">
        <v>33</v>
      </c>
      <c r="H37" s="8">
        <v>3</v>
      </c>
      <c r="I37" s="8">
        <v>79.989999999999995</v>
      </c>
      <c r="J37" s="8" t="s">
        <v>20</v>
      </c>
      <c r="K37" s="8" t="s">
        <v>35</v>
      </c>
      <c r="L37" s="8" t="s">
        <v>22</v>
      </c>
      <c r="M37" s="7">
        <v>45046</v>
      </c>
      <c r="N37" s="9">
        <v>239.97</v>
      </c>
    </row>
    <row r="38" spans="1:14" ht="15.75" customHeight="1" x14ac:dyDescent="0.3">
      <c r="A38" s="6" t="s">
        <v>137</v>
      </c>
      <c r="B38" s="15">
        <v>45429</v>
      </c>
      <c r="C38" s="8" t="s">
        <v>138</v>
      </c>
      <c r="D38" s="8" t="s">
        <v>139</v>
      </c>
      <c r="E38" s="8" t="s">
        <v>126</v>
      </c>
      <c r="F38" s="8" t="s">
        <v>127</v>
      </c>
      <c r="G38" s="8" t="s">
        <v>46</v>
      </c>
      <c r="H38" s="8">
        <v>3</v>
      </c>
      <c r="I38" s="8">
        <v>199.99</v>
      </c>
      <c r="J38" s="8" t="s">
        <v>26</v>
      </c>
      <c r="K38" s="8" t="s">
        <v>40</v>
      </c>
      <c r="L38" s="8" t="s">
        <v>27</v>
      </c>
      <c r="M38" s="7">
        <v>45292</v>
      </c>
      <c r="N38" s="9">
        <v>599.97</v>
      </c>
    </row>
    <row r="39" spans="1:14" ht="15.75" customHeight="1" x14ac:dyDescent="0.3">
      <c r="A39" s="6" t="s">
        <v>140</v>
      </c>
      <c r="B39" s="15">
        <v>45430</v>
      </c>
      <c r="C39" s="8" t="s">
        <v>141</v>
      </c>
      <c r="D39" s="8" t="s">
        <v>142</v>
      </c>
      <c r="E39" s="8" t="s">
        <v>80</v>
      </c>
      <c r="F39" s="8" t="s">
        <v>81</v>
      </c>
      <c r="G39" s="8" t="s">
        <v>19</v>
      </c>
      <c r="H39" s="8">
        <v>5</v>
      </c>
      <c r="I39" s="8">
        <v>699.99</v>
      </c>
      <c r="J39" s="8" t="s">
        <v>34</v>
      </c>
      <c r="K39" s="8" t="s">
        <v>50</v>
      </c>
      <c r="L39" s="8" t="s">
        <v>36</v>
      </c>
      <c r="M39" s="7">
        <v>44407</v>
      </c>
      <c r="N39" s="9">
        <v>3499.95</v>
      </c>
    </row>
    <row r="40" spans="1:14" ht="15.75" customHeight="1" x14ac:dyDescent="0.3">
      <c r="A40" s="6" t="s">
        <v>143</v>
      </c>
      <c r="B40" s="15">
        <v>45431</v>
      </c>
      <c r="C40" s="8" t="s">
        <v>144</v>
      </c>
      <c r="D40" s="8" t="s">
        <v>145</v>
      </c>
      <c r="E40" s="8" t="s">
        <v>117</v>
      </c>
      <c r="F40" s="8" t="s">
        <v>118</v>
      </c>
      <c r="G40" s="8" t="s">
        <v>19</v>
      </c>
      <c r="H40" s="8">
        <v>3</v>
      </c>
      <c r="I40" s="8">
        <v>89.99</v>
      </c>
      <c r="J40" s="8" t="s">
        <v>34</v>
      </c>
      <c r="K40" s="8" t="s">
        <v>21</v>
      </c>
      <c r="L40" s="8" t="s">
        <v>27</v>
      </c>
      <c r="M40" s="7">
        <v>45120</v>
      </c>
      <c r="N40" s="9">
        <v>269.97000000000003</v>
      </c>
    </row>
    <row r="41" spans="1:14" ht="15.75" customHeight="1" x14ac:dyDescent="0.3">
      <c r="A41" s="6" t="s">
        <v>146</v>
      </c>
      <c r="B41" s="15">
        <v>45432</v>
      </c>
      <c r="C41" s="8" t="s">
        <v>147</v>
      </c>
      <c r="D41" s="8" t="s">
        <v>148</v>
      </c>
      <c r="E41" s="8" t="s">
        <v>114</v>
      </c>
      <c r="F41" s="8" t="s">
        <v>115</v>
      </c>
      <c r="G41" s="8" t="s">
        <v>33</v>
      </c>
      <c r="H41" s="8">
        <v>1</v>
      </c>
      <c r="I41" s="8">
        <v>79.989999999999995</v>
      </c>
      <c r="J41" s="8" t="s">
        <v>20</v>
      </c>
      <c r="K41" s="8" t="s">
        <v>40</v>
      </c>
      <c r="L41" s="8" t="s">
        <v>36</v>
      </c>
      <c r="M41" s="7">
        <v>44917</v>
      </c>
      <c r="N41" s="9">
        <v>79.989999999999995</v>
      </c>
    </row>
    <row r="42" spans="1:14" ht="15.75" customHeight="1" x14ac:dyDescent="0.3">
      <c r="A42" s="6" t="s">
        <v>149</v>
      </c>
      <c r="B42" s="15">
        <v>45433</v>
      </c>
      <c r="C42" s="8" t="s">
        <v>150</v>
      </c>
      <c r="D42" s="8" t="s">
        <v>151</v>
      </c>
      <c r="E42" s="8" t="s">
        <v>31</v>
      </c>
      <c r="F42" s="8" t="s">
        <v>32</v>
      </c>
      <c r="G42" s="8" t="s">
        <v>33</v>
      </c>
      <c r="H42" s="8">
        <v>2</v>
      </c>
      <c r="I42" s="8">
        <v>59.99</v>
      </c>
      <c r="J42" s="8" t="s">
        <v>20</v>
      </c>
      <c r="K42" s="8" t="s">
        <v>50</v>
      </c>
      <c r="L42" s="8" t="s">
        <v>22</v>
      </c>
      <c r="M42" s="7">
        <v>45390</v>
      </c>
      <c r="N42" s="9">
        <v>119.98</v>
      </c>
    </row>
    <row r="43" spans="1:14" ht="15.75" customHeight="1" x14ac:dyDescent="0.3">
      <c r="A43" s="6" t="s">
        <v>152</v>
      </c>
      <c r="B43" s="15">
        <v>45434</v>
      </c>
      <c r="C43" s="8" t="s">
        <v>55</v>
      </c>
      <c r="D43" s="8" t="s">
        <v>56</v>
      </c>
      <c r="E43" s="8" t="s">
        <v>117</v>
      </c>
      <c r="F43" s="8" t="s">
        <v>118</v>
      </c>
      <c r="G43" s="8" t="s">
        <v>19</v>
      </c>
      <c r="H43" s="8">
        <v>1</v>
      </c>
      <c r="I43" s="8">
        <v>89.99</v>
      </c>
      <c r="J43" s="8" t="s">
        <v>20</v>
      </c>
      <c r="K43" s="8" t="s">
        <v>40</v>
      </c>
      <c r="L43" s="8" t="s">
        <v>22</v>
      </c>
      <c r="M43" s="7">
        <v>45141</v>
      </c>
      <c r="N43" s="9">
        <v>89.99</v>
      </c>
    </row>
    <row r="44" spans="1:14" ht="15.75" customHeight="1" x14ac:dyDescent="0.3">
      <c r="A44" s="6" t="s">
        <v>153</v>
      </c>
      <c r="B44" s="15">
        <v>45435</v>
      </c>
      <c r="C44" s="8" t="s">
        <v>154</v>
      </c>
      <c r="D44" s="8" t="s">
        <v>155</v>
      </c>
      <c r="E44" s="8" t="s">
        <v>117</v>
      </c>
      <c r="F44" s="8" t="s">
        <v>118</v>
      </c>
      <c r="G44" s="8" t="s">
        <v>19</v>
      </c>
      <c r="H44" s="8">
        <v>5</v>
      </c>
      <c r="I44" s="8">
        <v>89.99</v>
      </c>
      <c r="J44" s="8" t="s">
        <v>26</v>
      </c>
      <c r="K44" s="8" t="s">
        <v>63</v>
      </c>
      <c r="L44" s="8" t="s">
        <v>36</v>
      </c>
      <c r="M44" s="7">
        <v>44587</v>
      </c>
      <c r="N44" s="9">
        <v>449.95</v>
      </c>
    </row>
    <row r="45" spans="1:14" ht="15.75" customHeight="1" x14ac:dyDescent="0.3">
      <c r="A45" s="6" t="s">
        <v>156</v>
      </c>
      <c r="B45" s="15">
        <v>45436</v>
      </c>
      <c r="C45" s="8" t="s">
        <v>24</v>
      </c>
      <c r="D45" s="8" t="s">
        <v>25</v>
      </c>
      <c r="E45" s="8" t="s">
        <v>17</v>
      </c>
      <c r="F45" s="8" t="s">
        <v>18</v>
      </c>
      <c r="G45" s="8" t="s">
        <v>19</v>
      </c>
      <c r="H45" s="8">
        <v>5</v>
      </c>
      <c r="I45" s="8">
        <v>249.99</v>
      </c>
      <c r="J45" s="8" t="s">
        <v>26</v>
      </c>
      <c r="K45" s="8" t="s">
        <v>63</v>
      </c>
      <c r="L45" s="8" t="s">
        <v>36</v>
      </c>
      <c r="M45" s="7">
        <v>44707</v>
      </c>
      <c r="N45" s="9">
        <v>1249.95</v>
      </c>
    </row>
    <row r="46" spans="1:14" ht="15.75" customHeight="1" x14ac:dyDescent="0.3">
      <c r="A46" s="6" t="s">
        <v>157</v>
      </c>
      <c r="B46" s="15">
        <v>45437</v>
      </c>
      <c r="C46" s="8" t="s">
        <v>158</v>
      </c>
      <c r="D46" s="8" t="s">
        <v>159</v>
      </c>
      <c r="E46" s="8" t="s">
        <v>117</v>
      </c>
      <c r="F46" s="8" t="s">
        <v>118</v>
      </c>
      <c r="G46" s="8" t="s">
        <v>19</v>
      </c>
      <c r="H46" s="8">
        <v>1</v>
      </c>
      <c r="I46" s="8">
        <v>89.99</v>
      </c>
      <c r="J46" s="8" t="s">
        <v>26</v>
      </c>
      <c r="K46" s="8" t="s">
        <v>35</v>
      </c>
      <c r="L46" s="8" t="s">
        <v>36</v>
      </c>
      <c r="M46" s="7">
        <v>44582</v>
      </c>
      <c r="N46" s="9">
        <v>89.99</v>
      </c>
    </row>
    <row r="47" spans="1:14" ht="15.75" customHeight="1" x14ac:dyDescent="0.3">
      <c r="A47" s="6" t="s">
        <v>160</v>
      </c>
      <c r="B47" s="15">
        <v>45438</v>
      </c>
      <c r="C47" s="8" t="s">
        <v>42</v>
      </c>
      <c r="D47" s="8" t="s">
        <v>43</v>
      </c>
      <c r="E47" s="8" t="s">
        <v>44</v>
      </c>
      <c r="F47" s="8" t="s">
        <v>45</v>
      </c>
      <c r="G47" s="8" t="s">
        <v>46</v>
      </c>
      <c r="H47" s="8">
        <v>2</v>
      </c>
      <c r="I47" s="8">
        <v>149.99</v>
      </c>
      <c r="J47" s="8" t="s">
        <v>20</v>
      </c>
      <c r="K47" s="8" t="s">
        <v>63</v>
      </c>
      <c r="L47" s="8" t="s">
        <v>27</v>
      </c>
      <c r="M47" s="7">
        <v>44645</v>
      </c>
      <c r="N47" s="9">
        <v>299.98</v>
      </c>
    </row>
    <row r="48" spans="1:14" ht="15.75" customHeight="1" x14ac:dyDescent="0.3">
      <c r="A48" s="6" t="s">
        <v>161</v>
      </c>
      <c r="B48" s="15">
        <v>45439</v>
      </c>
      <c r="C48" s="8" t="s">
        <v>162</v>
      </c>
      <c r="D48" s="8" t="s">
        <v>163</v>
      </c>
      <c r="E48" s="8" t="s">
        <v>31</v>
      </c>
      <c r="F48" s="8" t="s">
        <v>32</v>
      </c>
      <c r="G48" s="8" t="s">
        <v>33</v>
      </c>
      <c r="H48" s="8">
        <v>4</v>
      </c>
      <c r="I48" s="8">
        <v>59.99</v>
      </c>
      <c r="J48" s="8" t="s">
        <v>20</v>
      </c>
      <c r="K48" s="8" t="s">
        <v>63</v>
      </c>
      <c r="L48" s="8" t="s">
        <v>36</v>
      </c>
      <c r="M48" s="7">
        <v>44435</v>
      </c>
      <c r="N48" s="9">
        <v>239.96</v>
      </c>
    </row>
    <row r="49" spans="1:14" ht="15.75" customHeight="1" x14ac:dyDescent="0.3">
      <c r="A49" s="6" t="s">
        <v>164</v>
      </c>
      <c r="B49" s="15">
        <v>45440</v>
      </c>
      <c r="C49" s="8" t="s">
        <v>129</v>
      </c>
      <c r="D49" s="8" t="s">
        <v>130</v>
      </c>
      <c r="E49" s="8" t="s">
        <v>117</v>
      </c>
      <c r="F49" s="8" t="s">
        <v>118</v>
      </c>
      <c r="G49" s="8" t="s">
        <v>19</v>
      </c>
      <c r="H49" s="8">
        <v>5</v>
      </c>
      <c r="I49" s="8">
        <v>89.99</v>
      </c>
      <c r="J49" s="8" t="s">
        <v>20</v>
      </c>
      <c r="K49" s="8" t="s">
        <v>21</v>
      </c>
      <c r="L49" s="8" t="s">
        <v>27</v>
      </c>
      <c r="M49" s="7">
        <v>44579</v>
      </c>
      <c r="N49" s="9">
        <v>449.95</v>
      </c>
    </row>
    <row r="50" spans="1:14" ht="15.75" customHeight="1" x14ac:dyDescent="0.3">
      <c r="A50" s="6" t="s">
        <v>165</v>
      </c>
      <c r="B50" s="15">
        <v>45441</v>
      </c>
      <c r="C50" s="8" t="s">
        <v>99</v>
      </c>
      <c r="D50" s="8" t="s">
        <v>100</v>
      </c>
      <c r="E50" s="8" t="s">
        <v>117</v>
      </c>
      <c r="F50" s="8" t="s">
        <v>118</v>
      </c>
      <c r="G50" s="8" t="s">
        <v>19</v>
      </c>
      <c r="H50" s="8">
        <v>2</v>
      </c>
      <c r="I50" s="8">
        <v>89.99</v>
      </c>
      <c r="J50" s="8" t="s">
        <v>26</v>
      </c>
      <c r="K50" s="8" t="s">
        <v>35</v>
      </c>
      <c r="L50" s="8" t="s">
        <v>27</v>
      </c>
      <c r="M50" s="7">
        <v>44471</v>
      </c>
      <c r="N50" s="9">
        <v>179.98</v>
      </c>
    </row>
    <row r="51" spans="1:14" ht="15.75" customHeight="1" x14ac:dyDescent="0.3">
      <c r="A51" s="6" t="s">
        <v>166</v>
      </c>
      <c r="B51" s="15">
        <v>45442</v>
      </c>
      <c r="C51" s="8" t="s">
        <v>15</v>
      </c>
      <c r="D51" s="8" t="s">
        <v>16</v>
      </c>
      <c r="E51" s="8" t="s">
        <v>61</v>
      </c>
      <c r="F51" s="8" t="s">
        <v>62</v>
      </c>
      <c r="G51" s="8" t="s">
        <v>19</v>
      </c>
      <c r="H51" s="8">
        <v>5</v>
      </c>
      <c r="I51" s="8">
        <v>899.99</v>
      </c>
      <c r="J51" s="8" t="s">
        <v>26</v>
      </c>
      <c r="K51" s="8" t="s">
        <v>35</v>
      </c>
      <c r="L51" s="8" t="s">
        <v>36</v>
      </c>
      <c r="M51" s="7">
        <v>44974</v>
      </c>
      <c r="N51" s="9">
        <v>4499.95</v>
      </c>
    </row>
    <row r="52" spans="1:14" ht="15.75" customHeight="1" x14ac:dyDescent="0.3">
      <c r="A52" s="6" t="s">
        <v>167</v>
      </c>
      <c r="B52" s="15">
        <v>45443</v>
      </c>
      <c r="C52" s="8" t="s">
        <v>123</v>
      </c>
      <c r="D52" s="8" t="s">
        <v>124</v>
      </c>
      <c r="E52" s="8" t="s">
        <v>61</v>
      </c>
      <c r="F52" s="8" t="s">
        <v>62</v>
      </c>
      <c r="G52" s="8" t="s">
        <v>19</v>
      </c>
      <c r="H52" s="8">
        <v>5</v>
      </c>
      <c r="I52" s="8">
        <v>899.99</v>
      </c>
      <c r="J52" s="8" t="s">
        <v>34</v>
      </c>
      <c r="K52" s="8" t="s">
        <v>63</v>
      </c>
      <c r="L52" s="8" t="s">
        <v>27</v>
      </c>
      <c r="M52" s="7">
        <v>45278</v>
      </c>
      <c r="N52" s="9">
        <v>4499.95</v>
      </c>
    </row>
    <row r="53" spans="1:14" ht="15.75" customHeight="1" x14ac:dyDescent="0.3">
      <c r="A53" s="6" t="s">
        <v>168</v>
      </c>
      <c r="B53" s="15">
        <v>45444</v>
      </c>
      <c r="C53" s="8" t="s">
        <v>158</v>
      </c>
      <c r="D53" s="8" t="s">
        <v>159</v>
      </c>
      <c r="E53" s="8" t="s">
        <v>31</v>
      </c>
      <c r="F53" s="8" t="s">
        <v>32</v>
      </c>
      <c r="G53" s="8" t="s">
        <v>33</v>
      </c>
      <c r="H53" s="8">
        <v>1</v>
      </c>
      <c r="I53" s="8">
        <v>59.99</v>
      </c>
      <c r="J53" s="8" t="s">
        <v>57</v>
      </c>
      <c r="K53" s="8" t="s">
        <v>50</v>
      </c>
      <c r="L53" s="8" t="s">
        <v>27</v>
      </c>
      <c r="M53" s="7">
        <v>45190</v>
      </c>
      <c r="N53" s="9">
        <v>59.99</v>
      </c>
    </row>
    <row r="54" spans="1:14" ht="15.75" customHeight="1" x14ac:dyDescent="0.3">
      <c r="A54" s="6" t="s">
        <v>169</v>
      </c>
      <c r="B54" s="15">
        <v>45445</v>
      </c>
      <c r="C54" s="8" t="s">
        <v>141</v>
      </c>
      <c r="D54" s="8" t="s">
        <v>142</v>
      </c>
      <c r="E54" s="8" t="s">
        <v>105</v>
      </c>
      <c r="F54" s="8" t="s">
        <v>106</v>
      </c>
      <c r="G54" s="8" t="s">
        <v>46</v>
      </c>
      <c r="H54" s="8">
        <v>2</v>
      </c>
      <c r="I54" s="8">
        <v>299.99</v>
      </c>
      <c r="J54" s="8" t="s">
        <v>57</v>
      </c>
      <c r="K54" s="8" t="s">
        <v>63</v>
      </c>
      <c r="L54" s="8" t="s">
        <v>36</v>
      </c>
      <c r="M54" s="7">
        <v>45253</v>
      </c>
      <c r="N54" s="9">
        <v>599.98</v>
      </c>
    </row>
    <row r="55" spans="1:14" ht="15.75" customHeight="1" x14ac:dyDescent="0.3">
      <c r="A55" s="6" t="s">
        <v>170</v>
      </c>
      <c r="B55" s="15">
        <v>45446</v>
      </c>
      <c r="C55" s="8" t="s">
        <v>171</v>
      </c>
      <c r="D55" s="8" t="s">
        <v>172</v>
      </c>
      <c r="E55" s="8" t="s">
        <v>117</v>
      </c>
      <c r="F55" s="8" t="s">
        <v>118</v>
      </c>
      <c r="G55" s="8" t="s">
        <v>19</v>
      </c>
      <c r="H55" s="8">
        <v>4</v>
      </c>
      <c r="I55" s="8">
        <v>89.99</v>
      </c>
      <c r="J55" s="8" t="s">
        <v>57</v>
      </c>
      <c r="K55" s="8" t="s">
        <v>35</v>
      </c>
      <c r="L55" s="8" t="s">
        <v>22</v>
      </c>
      <c r="M55" s="7">
        <v>45281</v>
      </c>
      <c r="N55" s="9">
        <v>359.96</v>
      </c>
    </row>
    <row r="56" spans="1:14" ht="15.75" customHeight="1" x14ac:dyDescent="0.3">
      <c r="A56" s="6" t="s">
        <v>173</v>
      </c>
      <c r="B56" s="15">
        <v>45447</v>
      </c>
      <c r="C56" s="8" t="s">
        <v>29</v>
      </c>
      <c r="D56" s="8" t="s">
        <v>30</v>
      </c>
      <c r="E56" s="8" t="s">
        <v>114</v>
      </c>
      <c r="F56" s="8" t="s">
        <v>115</v>
      </c>
      <c r="G56" s="8" t="s">
        <v>33</v>
      </c>
      <c r="H56" s="8">
        <v>1</v>
      </c>
      <c r="I56" s="8">
        <v>79.989999999999995</v>
      </c>
      <c r="J56" s="8" t="s">
        <v>34</v>
      </c>
      <c r="K56" s="8" t="s">
        <v>21</v>
      </c>
      <c r="L56" s="8" t="s">
        <v>27</v>
      </c>
      <c r="M56" s="7">
        <v>45352</v>
      </c>
      <c r="N56" s="9">
        <v>79.989999999999995</v>
      </c>
    </row>
    <row r="57" spans="1:14" ht="15.75" customHeight="1" x14ac:dyDescent="0.3">
      <c r="A57" s="6" t="s">
        <v>174</v>
      </c>
      <c r="B57" s="15">
        <v>45448</v>
      </c>
      <c r="C57" s="8" t="s">
        <v>59</v>
      </c>
      <c r="D57" s="8" t="s">
        <v>60</v>
      </c>
      <c r="E57" s="8" t="s">
        <v>117</v>
      </c>
      <c r="F57" s="8" t="s">
        <v>118</v>
      </c>
      <c r="G57" s="8" t="s">
        <v>19</v>
      </c>
      <c r="H57" s="8">
        <v>2</v>
      </c>
      <c r="I57" s="8">
        <v>89.99</v>
      </c>
      <c r="J57" s="8" t="s">
        <v>20</v>
      </c>
      <c r="K57" s="8" t="s">
        <v>50</v>
      </c>
      <c r="L57" s="8" t="s">
        <v>22</v>
      </c>
      <c r="M57" s="7">
        <v>44438</v>
      </c>
      <c r="N57" s="9">
        <v>179.98</v>
      </c>
    </row>
    <row r="58" spans="1:14" ht="15.75" customHeight="1" x14ac:dyDescent="0.3">
      <c r="A58" s="6" t="s">
        <v>175</v>
      </c>
      <c r="B58" s="15">
        <v>45449</v>
      </c>
      <c r="C58" s="8" t="s">
        <v>38</v>
      </c>
      <c r="D58" s="8" t="s">
        <v>39</v>
      </c>
      <c r="E58" s="8" t="s">
        <v>80</v>
      </c>
      <c r="F58" s="8" t="s">
        <v>81</v>
      </c>
      <c r="G58" s="8" t="s">
        <v>19</v>
      </c>
      <c r="H58" s="8">
        <v>3</v>
      </c>
      <c r="I58" s="8">
        <v>699.99</v>
      </c>
      <c r="J58" s="8" t="s">
        <v>26</v>
      </c>
      <c r="K58" s="8" t="s">
        <v>63</v>
      </c>
      <c r="L58" s="8" t="s">
        <v>27</v>
      </c>
      <c r="M58" s="7">
        <v>45102</v>
      </c>
      <c r="N58" s="9">
        <v>2099.9699999999998</v>
      </c>
    </row>
    <row r="59" spans="1:14" ht="15.75" customHeight="1" x14ac:dyDescent="0.3">
      <c r="A59" s="6" t="s">
        <v>176</v>
      </c>
      <c r="B59" s="15">
        <v>45450</v>
      </c>
      <c r="C59" s="8" t="s">
        <v>99</v>
      </c>
      <c r="D59" s="8" t="s">
        <v>100</v>
      </c>
      <c r="E59" s="8" t="s">
        <v>61</v>
      </c>
      <c r="F59" s="8" t="s">
        <v>62</v>
      </c>
      <c r="G59" s="8" t="s">
        <v>19</v>
      </c>
      <c r="H59" s="8">
        <v>4</v>
      </c>
      <c r="I59" s="8">
        <v>899.99</v>
      </c>
      <c r="J59" s="8" t="s">
        <v>26</v>
      </c>
      <c r="K59" s="8" t="s">
        <v>63</v>
      </c>
      <c r="L59" s="8" t="s">
        <v>27</v>
      </c>
      <c r="M59" s="7">
        <v>44993</v>
      </c>
      <c r="N59" s="9">
        <v>3599.96</v>
      </c>
    </row>
    <row r="60" spans="1:14" ht="15.75" customHeight="1" x14ac:dyDescent="0.3">
      <c r="A60" s="6" t="s">
        <v>177</v>
      </c>
      <c r="B60" s="15">
        <v>45451</v>
      </c>
      <c r="C60" s="8" t="s">
        <v>120</v>
      </c>
      <c r="D60" s="8" t="s">
        <v>121</v>
      </c>
      <c r="E60" s="8" t="s">
        <v>44</v>
      </c>
      <c r="F60" s="8" t="s">
        <v>45</v>
      </c>
      <c r="G60" s="8" t="s">
        <v>46</v>
      </c>
      <c r="H60" s="8">
        <v>1</v>
      </c>
      <c r="I60" s="8">
        <v>149.99</v>
      </c>
      <c r="J60" s="8" t="s">
        <v>34</v>
      </c>
      <c r="K60" s="8" t="s">
        <v>63</v>
      </c>
      <c r="L60" s="8" t="s">
        <v>22</v>
      </c>
      <c r="M60" s="7">
        <v>44851</v>
      </c>
      <c r="N60" s="9">
        <v>149.99</v>
      </c>
    </row>
    <row r="61" spans="1:14" ht="15.75" customHeight="1" x14ac:dyDescent="0.3">
      <c r="A61" s="6" t="s">
        <v>178</v>
      </c>
      <c r="B61" s="15">
        <v>45452</v>
      </c>
      <c r="C61" s="8" t="s">
        <v>132</v>
      </c>
      <c r="D61" s="8" t="s">
        <v>133</v>
      </c>
      <c r="E61" s="8" t="s">
        <v>117</v>
      </c>
      <c r="F61" s="8" t="s">
        <v>118</v>
      </c>
      <c r="G61" s="8" t="s">
        <v>19</v>
      </c>
      <c r="H61" s="8">
        <v>2</v>
      </c>
      <c r="I61" s="8">
        <v>89.99</v>
      </c>
      <c r="J61" s="8" t="s">
        <v>34</v>
      </c>
      <c r="K61" s="8" t="s">
        <v>21</v>
      </c>
      <c r="L61" s="8" t="s">
        <v>27</v>
      </c>
      <c r="M61" s="7">
        <v>45275</v>
      </c>
      <c r="N61" s="9">
        <v>179.98</v>
      </c>
    </row>
    <row r="62" spans="1:14" ht="15.75" customHeight="1" x14ac:dyDescent="0.3">
      <c r="A62" s="6" t="s">
        <v>179</v>
      </c>
      <c r="B62" s="15">
        <v>45453</v>
      </c>
      <c r="C62" s="8" t="s">
        <v>55</v>
      </c>
      <c r="D62" s="8" t="s">
        <v>56</v>
      </c>
      <c r="E62" s="8" t="s">
        <v>117</v>
      </c>
      <c r="F62" s="8" t="s">
        <v>118</v>
      </c>
      <c r="G62" s="8" t="s">
        <v>19</v>
      </c>
      <c r="H62" s="8">
        <v>1</v>
      </c>
      <c r="I62" s="8">
        <v>89.99</v>
      </c>
      <c r="J62" s="8" t="s">
        <v>34</v>
      </c>
      <c r="K62" s="8" t="s">
        <v>50</v>
      </c>
      <c r="L62" s="8" t="s">
        <v>36</v>
      </c>
      <c r="M62" s="7">
        <v>44802</v>
      </c>
      <c r="N62" s="9">
        <v>89.99</v>
      </c>
    </row>
    <row r="63" spans="1:14" ht="15.75" customHeight="1" x14ac:dyDescent="0.3">
      <c r="A63" s="6" t="s">
        <v>180</v>
      </c>
      <c r="B63" s="15">
        <v>45454</v>
      </c>
      <c r="C63" s="8" t="s">
        <v>68</v>
      </c>
      <c r="D63" s="8" t="s">
        <v>69</v>
      </c>
      <c r="E63" s="8" t="s">
        <v>117</v>
      </c>
      <c r="F63" s="8" t="s">
        <v>118</v>
      </c>
      <c r="G63" s="8" t="s">
        <v>19</v>
      </c>
      <c r="H63" s="8">
        <v>1</v>
      </c>
      <c r="I63" s="8">
        <v>89.99</v>
      </c>
      <c r="J63" s="8" t="s">
        <v>20</v>
      </c>
      <c r="K63" s="8" t="s">
        <v>35</v>
      </c>
      <c r="L63" s="8" t="s">
        <v>36</v>
      </c>
      <c r="M63" s="7">
        <v>44611</v>
      </c>
      <c r="N63" s="9">
        <v>89.99</v>
      </c>
    </row>
    <row r="64" spans="1:14" ht="15.75" customHeight="1" x14ac:dyDescent="0.3">
      <c r="A64" s="6" t="s">
        <v>181</v>
      </c>
      <c r="B64" s="15">
        <v>45455</v>
      </c>
      <c r="C64" s="8" t="s">
        <v>182</v>
      </c>
      <c r="D64" s="8" t="s">
        <v>183</v>
      </c>
      <c r="E64" s="8" t="s">
        <v>114</v>
      </c>
      <c r="F64" s="8" t="s">
        <v>115</v>
      </c>
      <c r="G64" s="8" t="s">
        <v>33</v>
      </c>
      <c r="H64" s="8">
        <v>5</v>
      </c>
      <c r="I64" s="8">
        <v>79.989999999999995</v>
      </c>
      <c r="J64" s="8" t="s">
        <v>57</v>
      </c>
      <c r="K64" s="8" t="s">
        <v>21</v>
      </c>
      <c r="L64" s="8" t="s">
        <v>22</v>
      </c>
      <c r="M64" s="7">
        <v>44981</v>
      </c>
      <c r="N64" s="9">
        <v>399.95</v>
      </c>
    </row>
    <row r="65" spans="1:14" ht="15.75" customHeight="1" x14ac:dyDescent="0.3">
      <c r="A65" s="6" t="s">
        <v>184</v>
      </c>
      <c r="B65" s="15">
        <v>45456</v>
      </c>
      <c r="C65" s="8" t="s">
        <v>185</v>
      </c>
      <c r="D65" s="8" t="s">
        <v>186</v>
      </c>
      <c r="E65" s="8" t="s">
        <v>44</v>
      </c>
      <c r="F65" s="8" t="s">
        <v>45</v>
      </c>
      <c r="G65" s="8" t="s">
        <v>46</v>
      </c>
      <c r="H65" s="8">
        <v>1</v>
      </c>
      <c r="I65" s="8">
        <v>149.99</v>
      </c>
      <c r="J65" s="8" t="s">
        <v>34</v>
      </c>
      <c r="K65" s="8" t="s">
        <v>40</v>
      </c>
      <c r="L65" s="8" t="s">
        <v>22</v>
      </c>
      <c r="M65" s="7">
        <v>44421</v>
      </c>
      <c r="N65" s="9">
        <v>149.99</v>
      </c>
    </row>
    <row r="66" spans="1:14" ht="15.75" customHeight="1" x14ac:dyDescent="0.3">
      <c r="A66" s="6" t="s">
        <v>187</v>
      </c>
      <c r="B66" s="15">
        <v>45457</v>
      </c>
      <c r="C66" s="8" t="s">
        <v>42</v>
      </c>
      <c r="D66" s="8" t="s">
        <v>43</v>
      </c>
      <c r="E66" s="8" t="s">
        <v>80</v>
      </c>
      <c r="F66" s="8" t="s">
        <v>81</v>
      </c>
      <c r="G66" s="8" t="s">
        <v>19</v>
      </c>
      <c r="H66" s="8">
        <v>2</v>
      </c>
      <c r="I66" s="8">
        <v>699.99</v>
      </c>
      <c r="J66" s="8" t="s">
        <v>34</v>
      </c>
      <c r="K66" s="8" t="s">
        <v>63</v>
      </c>
      <c r="L66" s="8" t="s">
        <v>27</v>
      </c>
      <c r="M66" s="7">
        <v>45389</v>
      </c>
      <c r="N66" s="9">
        <v>1399.98</v>
      </c>
    </row>
    <row r="67" spans="1:14" ht="15.75" customHeight="1" x14ac:dyDescent="0.3">
      <c r="A67" s="6" t="s">
        <v>188</v>
      </c>
      <c r="B67" s="15">
        <v>45458</v>
      </c>
      <c r="C67" s="8" t="s">
        <v>96</v>
      </c>
      <c r="D67" s="8" t="s">
        <v>97</v>
      </c>
      <c r="E67" s="8" t="s">
        <v>117</v>
      </c>
      <c r="F67" s="8" t="s">
        <v>118</v>
      </c>
      <c r="G67" s="8" t="s">
        <v>19</v>
      </c>
      <c r="H67" s="8">
        <v>5</v>
      </c>
      <c r="I67" s="8">
        <v>89.99</v>
      </c>
      <c r="J67" s="8" t="s">
        <v>57</v>
      </c>
      <c r="K67" s="8" t="s">
        <v>40</v>
      </c>
      <c r="L67" s="8" t="s">
        <v>27</v>
      </c>
      <c r="M67" s="7">
        <v>45161</v>
      </c>
      <c r="N67" s="9">
        <v>449.95</v>
      </c>
    </row>
    <row r="68" spans="1:14" ht="15.75" customHeight="1" x14ac:dyDescent="0.3">
      <c r="A68" s="6" t="s">
        <v>189</v>
      </c>
      <c r="B68" s="15">
        <v>45459</v>
      </c>
      <c r="C68" s="8" t="s">
        <v>171</v>
      </c>
      <c r="D68" s="8" t="s">
        <v>172</v>
      </c>
      <c r="E68" s="8" t="s">
        <v>31</v>
      </c>
      <c r="F68" s="8" t="s">
        <v>32</v>
      </c>
      <c r="G68" s="8" t="s">
        <v>33</v>
      </c>
      <c r="H68" s="8">
        <v>4</v>
      </c>
      <c r="I68" s="8">
        <v>59.99</v>
      </c>
      <c r="J68" s="8" t="s">
        <v>20</v>
      </c>
      <c r="K68" s="8" t="s">
        <v>35</v>
      </c>
      <c r="L68" s="8" t="s">
        <v>36</v>
      </c>
      <c r="M68" s="7">
        <v>44509</v>
      </c>
      <c r="N68" s="9">
        <v>239.96</v>
      </c>
    </row>
    <row r="69" spans="1:14" ht="15.75" customHeight="1" x14ac:dyDescent="0.3">
      <c r="A69" s="6" t="s">
        <v>190</v>
      </c>
      <c r="B69" s="15">
        <v>45460</v>
      </c>
      <c r="C69" s="8" t="s">
        <v>24</v>
      </c>
      <c r="D69" s="8" t="s">
        <v>25</v>
      </c>
      <c r="E69" s="8" t="s">
        <v>52</v>
      </c>
      <c r="F69" s="8" t="s">
        <v>53</v>
      </c>
      <c r="G69" s="8" t="s">
        <v>19</v>
      </c>
      <c r="H69" s="8">
        <v>1</v>
      </c>
      <c r="I69" s="8">
        <v>149.99</v>
      </c>
      <c r="J69" s="8" t="s">
        <v>20</v>
      </c>
      <c r="K69" s="8" t="s">
        <v>21</v>
      </c>
      <c r="L69" s="8" t="s">
        <v>36</v>
      </c>
      <c r="M69" s="7">
        <v>44909</v>
      </c>
      <c r="N69" s="9">
        <v>149.99</v>
      </c>
    </row>
    <row r="70" spans="1:14" ht="15.75" customHeight="1" x14ac:dyDescent="0.3">
      <c r="A70" s="6" t="s">
        <v>191</v>
      </c>
      <c r="B70" s="15">
        <v>45461</v>
      </c>
      <c r="C70" s="8" t="s">
        <v>192</v>
      </c>
      <c r="D70" s="8" t="s">
        <v>193</v>
      </c>
      <c r="E70" s="8" t="s">
        <v>105</v>
      </c>
      <c r="F70" s="8" t="s">
        <v>106</v>
      </c>
      <c r="G70" s="8" t="s">
        <v>46</v>
      </c>
      <c r="H70" s="8">
        <v>1</v>
      </c>
      <c r="I70" s="8">
        <v>299.99</v>
      </c>
      <c r="J70" s="8" t="s">
        <v>26</v>
      </c>
      <c r="K70" s="8" t="s">
        <v>40</v>
      </c>
      <c r="L70" s="8" t="s">
        <v>27</v>
      </c>
      <c r="M70" s="7">
        <v>44891</v>
      </c>
      <c r="N70" s="9">
        <v>299.99</v>
      </c>
    </row>
    <row r="71" spans="1:14" ht="15.75" customHeight="1" x14ac:dyDescent="0.3">
      <c r="A71" s="6" t="s">
        <v>194</v>
      </c>
      <c r="B71" s="15">
        <v>45462</v>
      </c>
      <c r="C71" s="8" t="s">
        <v>192</v>
      </c>
      <c r="D71" s="8" t="s">
        <v>193</v>
      </c>
      <c r="E71" s="8" t="s">
        <v>126</v>
      </c>
      <c r="F71" s="8" t="s">
        <v>127</v>
      </c>
      <c r="G71" s="8" t="s">
        <v>46</v>
      </c>
      <c r="H71" s="8">
        <v>2</v>
      </c>
      <c r="I71" s="8">
        <v>199.99</v>
      </c>
      <c r="J71" s="8" t="s">
        <v>20</v>
      </c>
      <c r="K71" s="8" t="s">
        <v>40</v>
      </c>
      <c r="L71" s="8" t="s">
        <v>22</v>
      </c>
      <c r="M71" s="7">
        <v>44541</v>
      </c>
      <c r="N71" s="9">
        <v>399.98</v>
      </c>
    </row>
    <row r="72" spans="1:14" ht="15.75" customHeight="1" x14ac:dyDescent="0.3">
      <c r="A72" s="6" t="s">
        <v>195</v>
      </c>
      <c r="B72" s="15">
        <v>45463</v>
      </c>
      <c r="C72" s="8" t="s">
        <v>196</v>
      </c>
      <c r="D72" s="8" t="s">
        <v>197</v>
      </c>
      <c r="E72" s="8" t="s">
        <v>31</v>
      </c>
      <c r="F72" s="8" t="s">
        <v>32</v>
      </c>
      <c r="G72" s="8" t="s">
        <v>33</v>
      </c>
      <c r="H72" s="8">
        <v>3</v>
      </c>
      <c r="I72" s="8">
        <v>59.99</v>
      </c>
      <c r="J72" s="8" t="s">
        <v>26</v>
      </c>
      <c r="K72" s="8" t="s">
        <v>50</v>
      </c>
      <c r="L72" s="8" t="s">
        <v>22</v>
      </c>
      <c r="M72" s="7">
        <v>45130</v>
      </c>
      <c r="N72" s="9">
        <v>179.97</v>
      </c>
    </row>
    <row r="73" spans="1:14" ht="15.75" customHeight="1" x14ac:dyDescent="0.3">
      <c r="A73" s="6" t="s">
        <v>198</v>
      </c>
      <c r="B73" s="15">
        <v>45464</v>
      </c>
      <c r="C73" s="8" t="s">
        <v>72</v>
      </c>
      <c r="D73" s="8" t="s">
        <v>73</v>
      </c>
      <c r="E73" s="8" t="s">
        <v>44</v>
      </c>
      <c r="F73" s="8" t="s">
        <v>45</v>
      </c>
      <c r="G73" s="8" t="s">
        <v>46</v>
      </c>
      <c r="H73" s="8">
        <v>3</v>
      </c>
      <c r="I73" s="8">
        <v>149.99</v>
      </c>
      <c r="J73" s="8" t="s">
        <v>20</v>
      </c>
      <c r="K73" s="8" t="s">
        <v>21</v>
      </c>
      <c r="L73" s="8" t="s">
        <v>27</v>
      </c>
      <c r="M73" s="7">
        <v>45199</v>
      </c>
      <c r="N73" s="9">
        <v>449.97</v>
      </c>
    </row>
    <row r="74" spans="1:14" ht="15.75" customHeight="1" x14ac:dyDescent="0.3">
      <c r="A74" s="6" t="s">
        <v>199</v>
      </c>
      <c r="B74" s="15">
        <v>45465</v>
      </c>
      <c r="C74" s="8" t="s">
        <v>65</v>
      </c>
      <c r="D74" s="8" t="s">
        <v>66</v>
      </c>
      <c r="E74" s="8" t="s">
        <v>126</v>
      </c>
      <c r="F74" s="8" t="s">
        <v>127</v>
      </c>
      <c r="G74" s="8" t="s">
        <v>46</v>
      </c>
      <c r="H74" s="8">
        <v>3</v>
      </c>
      <c r="I74" s="8">
        <v>199.99</v>
      </c>
      <c r="J74" s="8" t="s">
        <v>20</v>
      </c>
      <c r="K74" s="8" t="s">
        <v>40</v>
      </c>
      <c r="L74" s="8" t="s">
        <v>27</v>
      </c>
      <c r="M74" s="7">
        <v>45254</v>
      </c>
      <c r="N74" s="9">
        <v>599.97</v>
      </c>
    </row>
    <row r="75" spans="1:14" ht="15.75" customHeight="1" x14ac:dyDescent="0.3">
      <c r="A75" s="6" t="s">
        <v>200</v>
      </c>
      <c r="B75" s="15">
        <v>45466</v>
      </c>
      <c r="C75" s="8" t="s">
        <v>150</v>
      </c>
      <c r="D75" s="8" t="s">
        <v>151</v>
      </c>
      <c r="E75" s="8" t="s">
        <v>61</v>
      </c>
      <c r="F75" s="8" t="s">
        <v>62</v>
      </c>
      <c r="G75" s="8" t="s">
        <v>19</v>
      </c>
      <c r="H75" s="8">
        <v>1</v>
      </c>
      <c r="I75" s="8">
        <v>899.99</v>
      </c>
      <c r="J75" s="8" t="s">
        <v>20</v>
      </c>
      <c r="K75" s="8" t="s">
        <v>21</v>
      </c>
      <c r="L75" s="8" t="s">
        <v>36</v>
      </c>
      <c r="M75" s="7">
        <v>45179</v>
      </c>
      <c r="N75" s="9">
        <v>899.99</v>
      </c>
    </row>
    <row r="76" spans="1:14" ht="15.75" customHeight="1" x14ac:dyDescent="0.3">
      <c r="A76" s="6" t="s">
        <v>201</v>
      </c>
      <c r="B76" s="15">
        <v>45467</v>
      </c>
      <c r="C76" s="8" t="s">
        <v>24</v>
      </c>
      <c r="D76" s="8" t="s">
        <v>25</v>
      </c>
      <c r="E76" s="8" t="s">
        <v>61</v>
      </c>
      <c r="F76" s="8" t="s">
        <v>62</v>
      </c>
      <c r="G76" s="8" t="s">
        <v>19</v>
      </c>
      <c r="H76" s="8">
        <v>5</v>
      </c>
      <c r="I76" s="8">
        <v>899.99</v>
      </c>
      <c r="J76" s="8" t="s">
        <v>57</v>
      </c>
      <c r="K76" s="8" t="s">
        <v>35</v>
      </c>
      <c r="L76" s="8" t="s">
        <v>36</v>
      </c>
      <c r="M76" s="7">
        <v>44899</v>
      </c>
      <c r="N76" s="9">
        <v>4499.95</v>
      </c>
    </row>
    <row r="77" spans="1:14" ht="15.75" customHeight="1" x14ac:dyDescent="0.3">
      <c r="A77" s="6" t="s">
        <v>202</v>
      </c>
      <c r="B77" s="15">
        <v>45468</v>
      </c>
      <c r="C77" s="8" t="s">
        <v>182</v>
      </c>
      <c r="D77" s="8" t="s">
        <v>183</v>
      </c>
      <c r="E77" s="8" t="s">
        <v>31</v>
      </c>
      <c r="F77" s="8" t="s">
        <v>32</v>
      </c>
      <c r="G77" s="8" t="s">
        <v>33</v>
      </c>
      <c r="H77" s="8">
        <v>2</v>
      </c>
      <c r="I77" s="8">
        <v>59.99</v>
      </c>
      <c r="J77" s="8" t="s">
        <v>20</v>
      </c>
      <c r="K77" s="8" t="s">
        <v>40</v>
      </c>
      <c r="L77" s="8" t="s">
        <v>36</v>
      </c>
      <c r="M77" s="7">
        <v>45152</v>
      </c>
      <c r="N77" s="9">
        <v>119.98</v>
      </c>
    </row>
    <row r="78" spans="1:14" ht="15.75" customHeight="1" x14ac:dyDescent="0.3">
      <c r="A78" s="6" t="s">
        <v>203</v>
      </c>
      <c r="B78" s="15">
        <v>45469</v>
      </c>
      <c r="C78" s="8" t="s">
        <v>196</v>
      </c>
      <c r="D78" s="8" t="s">
        <v>197</v>
      </c>
      <c r="E78" s="8" t="s">
        <v>17</v>
      </c>
      <c r="F78" s="8" t="s">
        <v>18</v>
      </c>
      <c r="G78" s="8" t="s">
        <v>19</v>
      </c>
      <c r="H78" s="8">
        <v>4</v>
      </c>
      <c r="I78" s="8">
        <v>249.99</v>
      </c>
      <c r="J78" s="8" t="s">
        <v>57</v>
      </c>
      <c r="K78" s="8" t="s">
        <v>21</v>
      </c>
      <c r="L78" s="8" t="s">
        <v>36</v>
      </c>
      <c r="M78" s="7">
        <v>45127</v>
      </c>
      <c r="N78" s="9">
        <v>999.96</v>
      </c>
    </row>
    <row r="79" spans="1:14" ht="15.75" customHeight="1" x14ac:dyDescent="0.3">
      <c r="A79" s="6" t="s">
        <v>204</v>
      </c>
      <c r="B79" s="15">
        <v>45470</v>
      </c>
      <c r="C79" s="8" t="s">
        <v>96</v>
      </c>
      <c r="D79" s="8" t="s">
        <v>97</v>
      </c>
      <c r="E79" s="8" t="s">
        <v>17</v>
      </c>
      <c r="F79" s="8" t="s">
        <v>18</v>
      </c>
      <c r="G79" s="8" t="s">
        <v>19</v>
      </c>
      <c r="H79" s="8">
        <v>2</v>
      </c>
      <c r="I79" s="8">
        <v>249.99</v>
      </c>
      <c r="J79" s="8" t="s">
        <v>20</v>
      </c>
      <c r="K79" s="8" t="s">
        <v>40</v>
      </c>
      <c r="L79" s="8" t="s">
        <v>27</v>
      </c>
      <c r="M79" s="7">
        <v>45164</v>
      </c>
      <c r="N79" s="9">
        <v>499.98</v>
      </c>
    </row>
    <row r="80" spans="1:14" ht="15.75" customHeight="1" x14ac:dyDescent="0.3">
      <c r="A80" s="6" t="s">
        <v>205</v>
      </c>
      <c r="B80" s="15">
        <v>45471</v>
      </c>
      <c r="C80" s="8" t="s">
        <v>147</v>
      </c>
      <c r="D80" s="8" t="s">
        <v>148</v>
      </c>
      <c r="E80" s="8" t="s">
        <v>105</v>
      </c>
      <c r="F80" s="8" t="s">
        <v>106</v>
      </c>
      <c r="G80" s="8" t="s">
        <v>46</v>
      </c>
      <c r="H80" s="8">
        <v>1</v>
      </c>
      <c r="I80" s="8">
        <v>299.99</v>
      </c>
      <c r="J80" s="8" t="s">
        <v>20</v>
      </c>
      <c r="K80" s="8" t="s">
        <v>35</v>
      </c>
      <c r="L80" s="8" t="s">
        <v>22</v>
      </c>
      <c r="M80" s="7">
        <v>44982</v>
      </c>
      <c r="N80" s="9">
        <v>299.99</v>
      </c>
    </row>
    <row r="81" spans="1:14" ht="15.75" customHeight="1" x14ac:dyDescent="0.3">
      <c r="A81" s="6" t="s">
        <v>206</v>
      </c>
      <c r="B81" s="15">
        <v>45472</v>
      </c>
      <c r="C81" s="8" t="s">
        <v>86</v>
      </c>
      <c r="D81" s="8" t="s">
        <v>87</v>
      </c>
      <c r="E81" s="8" t="s">
        <v>117</v>
      </c>
      <c r="F81" s="8" t="s">
        <v>118</v>
      </c>
      <c r="G81" s="8" t="s">
        <v>19</v>
      </c>
      <c r="H81" s="8">
        <v>2</v>
      </c>
      <c r="I81" s="8">
        <v>89.99</v>
      </c>
      <c r="J81" s="8" t="s">
        <v>34</v>
      </c>
      <c r="K81" s="8" t="s">
        <v>35</v>
      </c>
      <c r="L81" s="8" t="s">
        <v>22</v>
      </c>
      <c r="M81" s="7">
        <v>44976</v>
      </c>
      <c r="N81" s="9">
        <v>179.98</v>
      </c>
    </row>
    <row r="82" spans="1:14" ht="15.75" customHeight="1" x14ac:dyDescent="0.3">
      <c r="A82" s="6" t="s">
        <v>207</v>
      </c>
      <c r="B82" s="15">
        <v>45473</v>
      </c>
      <c r="C82" s="8" t="s">
        <v>147</v>
      </c>
      <c r="D82" s="8" t="s">
        <v>148</v>
      </c>
      <c r="E82" s="8" t="s">
        <v>105</v>
      </c>
      <c r="F82" s="8" t="s">
        <v>106</v>
      </c>
      <c r="G82" s="8" t="s">
        <v>46</v>
      </c>
      <c r="H82" s="8">
        <v>3</v>
      </c>
      <c r="I82" s="8">
        <v>299.99</v>
      </c>
      <c r="J82" s="8" t="s">
        <v>20</v>
      </c>
      <c r="K82" s="8" t="s">
        <v>21</v>
      </c>
      <c r="L82" s="8" t="s">
        <v>22</v>
      </c>
      <c r="M82" s="7">
        <v>44732</v>
      </c>
      <c r="N82" s="9">
        <v>899.97</v>
      </c>
    </row>
    <row r="83" spans="1:14" ht="15.75" customHeight="1" x14ac:dyDescent="0.3">
      <c r="A83" s="6" t="s">
        <v>208</v>
      </c>
      <c r="B83" s="15">
        <v>45474</v>
      </c>
      <c r="C83" s="8" t="s">
        <v>86</v>
      </c>
      <c r="D83" s="8" t="s">
        <v>87</v>
      </c>
      <c r="E83" s="8" t="s">
        <v>80</v>
      </c>
      <c r="F83" s="8" t="s">
        <v>81</v>
      </c>
      <c r="G83" s="8" t="s">
        <v>19</v>
      </c>
      <c r="H83" s="8">
        <v>2</v>
      </c>
      <c r="I83" s="8">
        <v>699.99</v>
      </c>
      <c r="J83" s="8" t="s">
        <v>26</v>
      </c>
      <c r="K83" s="8" t="s">
        <v>40</v>
      </c>
      <c r="L83" s="8" t="s">
        <v>27</v>
      </c>
      <c r="M83" s="7">
        <v>44999</v>
      </c>
      <c r="N83" s="9">
        <v>1399.98</v>
      </c>
    </row>
    <row r="84" spans="1:14" ht="15.75" customHeight="1" x14ac:dyDescent="0.3">
      <c r="A84" s="6" t="s">
        <v>209</v>
      </c>
      <c r="B84" s="15">
        <v>45475</v>
      </c>
      <c r="C84" s="8" t="s">
        <v>120</v>
      </c>
      <c r="D84" s="8" t="s">
        <v>121</v>
      </c>
      <c r="E84" s="8" t="s">
        <v>61</v>
      </c>
      <c r="F84" s="8" t="s">
        <v>62</v>
      </c>
      <c r="G84" s="8" t="s">
        <v>19</v>
      </c>
      <c r="H84" s="8">
        <v>4</v>
      </c>
      <c r="I84" s="8">
        <v>899.99</v>
      </c>
      <c r="J84" s="8" t="s">
        <v>57</v>
      </c>
      <c r="K84" s="8" t="s">
        <v>35</v>
      </c>
      <c r="L84" s="8" t="s">
        <v>36</v>
      </c>
      <c r="M84" s="7">
        <v>44523</v>
      </c>
      <c r="N84" s="9">
        <v>3599.96</v>
      </c>
    </row>
    <row r="85" spans="1:14" ht="15.75" customHeight="1" x14ac:dyDescent="0.3">
      <c r="A85" s="6" t="s">
        <v>210</v>
      </c>
      <c r="B85" s="15">
        <v>45476</v>
      </c>
      <c r="C85" s="8" t="s">
        <v>211</v>
      </c>
      <c r="D85" s="8" t="s">
        <v>212</v>
      </c>
      <c r="E85" s="8" t="s">
        <v>44</v>
      </c>
      <c r="F85" s="8" t="s">
        <v>45</v>
      </c>
      <c r="G85" s="8" t="s">
        <v>46</v>
      </c>
      <c r="H85" s="8">
        <v>2</v>
      </c>
      <c r="I85" s="8">
        <v>149.99</v>
      </c>
      <c r="J85" s="8" t="s">
        <v>26</v>
      </c>
      <c r="K85" s="8" t="s">
        <v>50</v>
      </c>
      <c r="L85" s="8" t="s">
        <v>22</v>
      </c>
      <c r="M85" s="7">
        <v>44542</v>
      </c>
      <c r="N85" s="9">
        <v>299.98</v>
      </c>
    </row>
    <row r="86" spans="1:14" ht="15.75" customHeight="1" x14ac:dyDescent="0.3">
      <c r="A86" s="6" t="s">
        <v>213</v>
      </c>
      <c r="B86" s="15">
        <v>45477</v>
      </c>
      <c r="C86" s="8" t="s">
        <v>102</v>
      </c>
      <c r="D86" s="8" t="s">
        <v>103</v>
      </c>
      <c r="E86" s="8" t="s">
        <v>44</v>
      </c>
      <c r="F86" s="8" t="s">
        <v>45</v>
      </c>
      <c r="G86" s="8" t="s">
        <v>46</v>
      </c>
      <c r="H86" s="8">
        <v>2</v>
      </c>
      <c r="I86" s="8">
        <v>149.99</v>
      </c>
      <c r="J86" s="8" t="s">
        <v>57</v>
      </c>
      <c r="K86" s="8" t="s">
        <v>63</v>
      </c>
      <c r="L86" s="8" t="s">
        <v>36</v>
      </c>
      <c r="M86" s="7">
        <v>44667</v>
      </c>
      <c r="N86" s="9">
        <v>299.98</v>
      </c>
    </row>
    <row r="87" spans="1:14" ht="15.75" customHeight="1" x14ac:dyDescent="0.3">
      <c r="A87" s="6" t="s">
        <v>214</v>
      </c>
      <c r="B87" s="15">
        <v>45478</v>
      </c>
      <c r="C87" s="8" t="s">
        <v>89</v>
      </c>
      <c r="D87" s="8" t="s">
        <v>90</v>
      </c>
      <c r="E87" s="8" t="s">
        <v>117</v>
      </c>
      <c r="F87" s="8" t="s">
        <v>118</v>
      </c>
      <c r="G87" s="8" t="s">
        <v>19</v>
      </c>
      <c r="H87" s="8">
        <v>1</v>
      </c>
      <c r="I87" s="8">
        <v>89.99</v>
      </c>
      <c r="J87" s="8" t="s">
        <v>26</v>
      </c>
      <c r="K87" s="8" t="s">
        <v>40</v>
      </c>
      <c r="L87" s="8" t="s">
        <v>36</v>
      </c>
      <c r="M87" s="7">
        <v>45393</v>
      </c>
      <c r="N87" s="9">
        <v>89.99</v>
      </c>
    </row>
    <row r="88" spans="1:14" ht="15.75" customHeight="1" x14ac:dyDescent="0.3">
      <c r="A88" s="6" t="s">
        <v>215</v>
      </c>
      <c r="B88" s="15">
        <v>45479</v>
      </c>
      <c r="C88" s="8" t="s">
        <v>86</v>
      </c>
      <c r="D88" s="8" t="s">
        <v>87</v>
      </c>
      <c r="E88" s="8" t="s">
        <v>105</v>
      </c>
      <c r="F88" s="8" t="s">
        <v>106</v>
      </c>
      <c r="G88" s="8" t="s">
        <v>46</v>
      </c>
      <c r="H88" s="8">
        <v>5</v>
      </c>
      <c r="I88" s="8">
        <v>299.99</v>
      </c>
      <c r="J88" s="8" t="s">
        <v>26</v>
      </c>
      <c r="K88" s="8" t="s">
        <v>40</v>
      </c>
      <c r="L88" s="8" t="s">
        <v>22</v>
      </c>
      <c r="M88" s="7">
        <v>44965</v>
      </c>
      <c r="N88" s="9">
        <v>1499.95</v>
      </c>
    </row>
    <row r="89" spans="1:14" ht="15.75" customHeight="1" x14ac:dyDescent="0.3">
      <c r="A89" s="6" t="s">
        <v>216</v>
      </c>
      <c r="B89" s="15">
        <v>45480</v>
      </c>
      <c r="C89" s="8" t="s">
        <v>182</v>
      </c>
      <c r="D89" s="8" t="s">
        <v>183</v>
      </c>
      <c r="E89" s="8" t="s">
        <v>52</v>
      </c>
      <c r="F89" s="8" t="s">
        <v>53</v>
      </c>
      <c r="G89" s="8" t="s">
        <v>19</v>
      </c>
      <c r="H89" s="8">
        <v>4</v>
      </c>
      <c r="I89" s="8">
        <v>149.99</v>
      </c>
      <c r="J89" s="8" t="s">
        <v>57</v>
      </c>
      <c r="K89" s="8" t="s">
        <v>35</v>
      </c>
      <c r="L89" s="8" t="s">
        <v>27</v>
      </c>
      <c r="M89" s="7">
        <v>44820</v>
      </c>
      <c r="N89" s="9">
        <v>599.96</v>
      </c>
    </row>
    <row r="90" spans="1:14" ht="15.75" customHeight="1" x14ac:dyDescent="0.3">
      <c r="A90" s="6" t="s">
        <v>217</v>
      </c>
      <c r="B90" s="15">
        <v>45481</v>
      </c>
      <c r="C90" s="8" t="s">
        <v>185</v>
      </c>
      <c r="D90" s="8" t="s">
        <v>186</v>
      </c>
      <c r="E90" s="8" t="s">
        <v>17</v>
      </c>
      <c r="F90" s="8" t="s">
        <v>18</v>
      </c>
      <c r="G90" s="8" t="s">
        <v>19</v>
      </c>
      <c r="H90" s="8">
        <v>5</v>
      </c>
      <c r="I90" s="8">
        <v>249.99</v>
      </c>
      <c r="J90" s="8" t="s">
        <v>34</v>
      </c>
      <c r="K90" s="8" t="s">
        <v>63</v>
      </c>
      <c r="L90" s="8" t="s">
        <v>27</v>
      </c>
      <c r="M90" s="7">
        <v>44782</v>
      </c>
      <c r="N90" s="9">
        <v>1249.95</v>
      </c>
    </row>
    <row r="91" spans="1:14" ht="15.75" customHeight="1" x14ac:dyDescent="0.3">
      <c r="A91" s="6" t="s">
        <v>218</v>
      </c>
      <c r="B91" s="15">
        <v>45482</v>
      </c>
      <c r="C91" s="8" t="s">
        <v>65</v>
      </c>
      <c r="D91" s="8" t="s">
        <v>66</v>
      </c>
      <c r="E91" s="8" t="s">
        <v>17</v>
      </c>
      <c r="F91" s="8" t="s">
        <v>18</v>
      </c>
      <c r="G91" s="8" t="s">
        <v>19</v>
      </c>
      <c r="H91" s="8">
        <v>3</v>
      </c>
      <c r="I91" s="8">
        <v>249.99</v>
      </c>
      <c r="J91" s="8" t="s">
        <v>34</v>
      </c>
      <c r="K91" s="8" t="s">
        <v>40</v>
      </c>
      <c r="L91" s="8" t="s">
        <v>27</v>
      </c>
      <c r="M91" s="7">
        <v>44465</v>
      </c>
      <c r="N91" s="9">
        <v>749.97</v>
      </c>
    </row>
    <row r="92" spans="1:14" ht="15.75" customHeight="1" x14ac:dyDescent="0.3">
      <c r="A92" s="6" t="s">
        <v>219</v>
      </c>
      <c r="B92" s="15">
        <v>45483</v>
      </c>
      <c r="C92" s="8" t="s">
        <v>38</v>
      </c>
      <c r="D92" s="8" t="s">
        <v>39</v>
      </c>
      <c r="E92" s="8" t="s">
        <v>126</v>
      </c>
      <c r="F92" s="8" t="s">
        <v>127</v>
      </c>
      <c r="G92" s="8" t="s">
        <v>46</v>
      </c>
      <c r="H92" s="8">
        <v>4</v>
      </c>
      <c r="I92" s="8">
        <v>199.99</v>
      </c>
      <c r="J92" s="8" t="s">
        <v>20</v>
      </c>
      <c r="K92" s="8" t="s">
        <v>40</v>
      </c>
      <c r="L92" s="8" t="s">
        <v>36</v>
      </c>
      <c r="M92" s="7">
        <v>44458</v>
      </c>
      <c r="N92" s="9">
        <v>799.96</v>
      </c>
    </row>
    <row r="93" spans="1:14" ht="15.75" customHeight="1" x14ac:dyDescent="0.3">
      <c r="A93" s="6" t="s">
        <v>220</v>
      </c>
      <c r="B93" s="15">
        <v>45484</v>
      </c>
      <c r="C93" s="8" t="s">
        <v>158</v>
      </c>
      <c r="D93" s="8" t="s">
        <v>159</v>
      </c>
      <c r="E93" s="8" t="s">
        <v>126</v>
      </c>
      <c r="F93" s="8" t="s">
        <v>127</v>
      </c>
      <c r="G93" s="8" t="s">
        <v>46</v>
      </c>
      <c r="H93" s="8">
        <v>5</v>
      </c>
      <c r="I93" s="8">
        <v>199.99</v>
      </c>
      <c r="J93" s="8" t="s">
        <v>20</v>
      </c>
      <c r="K93" s="8" t="s">
        <v>40</v>
      </c>
      <c r="L93" s="8" t="s">
        <v>27</v>
      </c>
      <c r="M93" s="7">
        <v>44991</v>
      </c>
      <c r="N93" s="9">
        <v>999.95</v>
      </c>
    </row>
    <row r="94" spans="1:14" ht="15.75" customHeight="1" x14ac:dyDescent="0.3">
      <c r="A94" s="6" t="s">
        <v>221</v>
      </c>
      <c r="B94" s="15">
        <v>45485</v>
      </c>
      <c r="C94" s="8" t="s">
        <v>86</v>
      </c>
      <c r="D94" s="8" t="s">
        <v>87</v>
      </c>
      <c r="E94" s="8" t="s">
        <v>117</v>
      </c>
      <c r="F94" s="8" t="s">
        <v>118</v>
      </c>
      <c r="G94" s="8" t="s">
        <v>19</v>
      </c>
      <c r="H94" s="8">
        <v>2</v>
      </c>
      <c r="I94" s="8">
        <v>89.99</v>
      </c>
      <c r="J94" s="8" t="s">
        <v>20</v>
      </c>
      <c r="K94" s="8" t="s">
        <v>63</v>
      </c>
      <c r="L94" s="8" t="s">
        <v>27</v>
      </c>
      <c r="M94" s="7">
        <v>44972</v>
      </c>
      <c r="N94" s="9">
        <v>179.98</v>
      </c>
    </row>
    <row r="95" spans="1:14" ht="15.75" customHeight="1" x14ac:dyDescent="0.3">
      <c r="A95" s="6" t="s">
        <v>222</v>
      </c>
      <c r="B95" s="15">
        <v>45486</v>
      </c>
      <c r="C95" s="8" t="s">
        <v>196</v>
      </c>
      <c r="D95" s="8" t="s">
        <v>197</v>
      </c>
      <c r="E95" s="8" t="s">
        <v>61</v>
      </c>
      <c r="F95" s="8" t="s">
        <v>62</v>
      </c>
      <c r="G95" s="8" t="s">
        <v>19</v>
      </c>
      <c r="H95" s="8">
        <v>5</v>
      </c>
      <c r="I95" s="8">
        <v>899.99</v>
      </c>
      <c r="J95" s="8" t="s">
        <v>57</v>
      </c>
      <c r="K95" s="8" t="s">
        <v>63</v>
      </c>
      <c r="L95" s="8" t="s">
        <v>22</v>
      </c>
      <c r="M95" s="7">
        <v>44526</v>
      </c>
      <c r="N95" s="9">
        <v>4499.95</v>
      </c>
    </row>
    <row r="96" spans="1:14" ht="15.75" customHeight="1" x14ac:dyDescent="0.3">
      <c r="A96" s="6" t="s">
        <v>223</v>
      </c>
      <c r="B96" s="15">
        <v>45487</v>
      </c>
      <c r="C96" s="8" t="s">
        <v>108</v>
      </c>
      <c r="D96" s="8" t="s">
        <v>109</v>
      </c>
      <c r="E96" s="8" t="s">
        <v>52</v>
      </c>
      <c r="F96" s="8" t="s">
        <v>53</v>
      </c>
      <c r="G96" s="8" t="s">
        <v>19</v>
      </c>
      <c r="H96" s="8">
        <v>3</v>
      </c>
      <c r="I96" s="8">
        <v>149.99</v>
      </c>
      <c r="J96" s="8" t="s">
        <v>34</v>
      </c>
      <c r="K96" s="8" t="s">
        <v>63</v>
      </c>
      <c r="L96" s="8" t="s">
        <v>22</v>
      </c>
      <c r="M96" s="7">
        <v>44574</v>
      </c>
      <c r="N96" s="9">
        <v>449.97</v>
      </c>
    </row>
    <row r="97" spans="1:14" ht="15.75" customHeight="1" x14ac:dyDescent="0.3">
      <c r="A97" s="6" t="s">
        <v>224</v>
      </c>
      <c r="B97" s="15">
        <v>45488</v>
      </c>
      <c r="C97" s="8" t="s">
        <v>102</v>
      </c>
      <c r="D97" s="8" t="s">
        <v>103</v>
      </c>
      <c r="E97" s="8" t="s">
        <v>44</v>
      </c>
      <c r="F97" s="8" t="s">
        <v>45</v>
      </c>
      <c r="G97" s="8" t="s">
        <v>46</v>
      </c>
      <c r="H97" s="8">
        <v>5</v>
      </c>
      <c r="I97" s="8">
        <v>149.99</v>
      </c>
      <c r="J97" s="8" t="s">
        <v>26</v>
      </c>
      <c r="K97" s="8" t="s">
        <v>21</v>
      </c>
      <c r="L97" s="8" t="s">
        <v>22</v>
      </c>
      <c r="M97" s="7">
        <v>45310</v>
      </c>
      <c r="N97" s="9">
        <v>749.95</v>
      </c>
    </row>
    <row r="98" spans="1:14" ht="15.75" customHeight="1" x14ac:dyDescent="0.3">
      <c r="A98" s="6" t="s">
        <v>225</v>
      </c>
      <c r="B98" s="15">
        <v>45489</v>
      </c>
      <c r="C98" s="8" t="s">
        <v>226</v>
      </c>
      <c r="D98" s="8" t="s">
        <v>227</v>
      </c>
      <c r="E98" s="8" t="s">
        <v>114</v>
      </c>
      <c r="F98" s="8" t="s">
        <v>115</v>
      </c>
      <c r="G98" s="8" t="s">
        <v>33</v>
      </c>
      <c r="H98" s="8">
        <v>3</v>
      </c>
      <c r="I98" s="8">
        <v>79.989999999999995</v>
      </c>
      <c r="J98" s="8" t="s">
        <v>20</v>
      </c>
      <c r="K98" s="8" t="s">
        <v>21</v>
      </c>
      <c r="L98" s="8" t="s">
        <v>27</v>
      </c>
      <c r="M98" s="7">
        <v>44779</v>
      </c>
      <c r="N98" s="9">
        <v>239.97</v>
      </c>
    </row>
    <row r="99" spans="1:14" ht="15.75" customHeight="1" x14ac:dyDescent="0.3">
      <c r="A99" s="6" t="s">
        <v>228</v>
      </c>
      <c r="B99" s="15">
        <v>45490</v>
      </c>
      <c r="C99" s="8" t="s">
        <v>144</v>
      </c>
      <c r="D99" s="8" t="s">
        <v>145</v>
      </c>
      <c r="E99" s="8" t="s">
        <v>17</v>
      </c>
      <c r="F99" s="8" t="s">
        <v>18</v>
      </c>
      <c r="G99" s="8" t="s">
        <v>19</v>
      </c>
      <c r="H99" s="8">
        <v>2</v>
      </c>
      <c r="I99" s="8">
        <v>249.99</v>
      </c>
      <c r="J99" s="8" t="s">
        <v>20</v>
      </c>
      <c r="K99" s="8" t="s">
        <v>35</v>
      </c>
      <c r="L99" s="8" t="s">
        <v>36</v>
      </c>
      <c r="M99" s="7">
        <v>44572</v>
      </c>
      <c r="N99" s="9">
        <v>499.98</v>
      </c>
    </row>
    <row r="100" spans="1:14" ht="15.75" customHeight="1" x14ac:dyDescent="0.3">
      <c r="A100" s="6" t="s">
        <v>229</v>
      </c>
      <c r="B100" s="15">
        <v>45491</v>
      </c>
      <c r="C100" s="8" t="s">
        <v>196</v>
      </c>
      <c r="D100" s="8" t="s">
        <v>197</v>
      </c>
      <c r="E100" s="8" t="s">
        <v>80</v>
      </c>
      <c r="F100" s="8" t="s">
        <v>81</v>
      </c>
      <c r="G100" s="8" t="s">
        <v>19</v>
      </c>
      <c r="H100" s="8">
        <v>1</v>
      </c>
      <c r="I100" s="8">
        <v>699.99</v>
      </c>
      <c r="J100" s="8" t="s">
        <v>20</v>
      </c>
      <c r="K100" s="8" t="s">
        <v>21</v>
      </c>
      <c r="L100" s="8" t="s">
        <v>27</v>
      </c>
      <c r="M100" s="7">
        <v>44497</v>
      </c>
      <c r="N100" s="9">
        <v>699.99</v>
      </c>
    </row>
    <row r="101" spans="1:14" ht="15.75" customHeight="1" x14ac:dyDescent="0.3">
      <c r="A101" s="6" t="s">
        <v>230</v>
      </c>
      <c r="B101" s="15">
        <v>45492</v>
      </c>
      <c r="C101" s="8" t="s">
        <v>231</v>
      </c>
      <c r="D101" s="8" t="s">
        <v>232</v>
      </c>
      <c r="E101" s="8" t="s">
        <v>52</v>
      </c>
      <c r="F101" s="8" t="s">
        <v>53</v>
      </c>
      <c r="G101" s="8" t="s">
        <v>19</v>
      </c>
      <c r="H101" s="8">
        <v>3</v>
      </c>
      <c r="I101" s="8">
        <v>149.99</v>
      </c>
      <c r="J101" s="8" t="s">
        <v>20</v>
      </c>
      <c r="K101" s="8" t="s">
        <v>50</v>
      </c>
      <c r="L101" s="8" t="s">
        <v>27</v>
      </c>
      <c r="M101" s="7">
        <v>45212</v>
      </c>
      <c r="N101" s="9">
        <v>449.97</v>
      </c>
    </row>
    <row r="102" spans="1:14" ht="15.75" customHeight="1" x14ac:dyDescent="0.3">
      <c r="A102" s="6" t="s">
        <v>233</v>
      </c>
      <c r="B102" s="15">
        <v>45493</v>
      </c>
      <c r="C102" s="8" t="s">
        <v>234</v>
      </c>
      <c r="D102" s="8" t="s">
        <v>235</v>
      </c>
      <c r="E102" s="8" t="s">
        <v>80</v>
      </c>
      <c r="F102" s="8" t="s">
        <v>81</v>
      </c>
      <c r="G102" s="8" t="s">
        <v>19</v>
      </c>
      <c r="H102" s="8">
        <v>2</v>
      </c>
      <c r="I102" s="8">
        <v>699.99</v>
      </c>
      <c r="J102" s="8" t="s">
        <v>26</v>
      </c>
      <c r="K102" s="8" t="s">
        <v>40</v>
      </c>
      <c r="L102" s="8" t="s">
        <v>27</v>
      </c>
      <c r="M102" s="7">
        <v>44421</v>
      </c>
      <c r="N102" s="9">
        <v>1399.98</v>
      </c>
    </row>
    <row r="103" spans="1:14" ht="15.75" customHeight="1" x14ac:dyDescent="0.3">
      <c r="A103" s="6" t="s">
        <v>236</v>
      </c>
      <c r="B103" s="15">
        <v>45494</v>
      </c>
      <c r="C103" s="8" t="s">
        <v>231</v>
      </c>
      <c r="D103" s="8" t="s">
        <v>232</v>
      </c>
      <c r="E103" s="8" t="s">
        <v>17</v>
      </c>
      <c r="F103" s="8" t="s">
        <v>18</v>
      </c>
      <c r="G103" s="8" t="s">
        <v>19</v>
      </c>
      <c r="H103" s="8">
        <v>1</v>
      </c>
      <c r="I103" s="8">
        <v>249.99</v>
      </c>
      <c r="J103" s="8" t="s">
        <v>26</v>
      </c>
      <c r="K103" s="8" t="s">
        <v>50</v>
      </c>
      <c r="L103" s="8" t="s">
        <v>27</v>
      </c>
      <c r="M103" s="7">
        <v>44685</v>
      </c>
      <c r="N103" s="9">
        <v>249.99</v>
      </c>
    </row>
    <row r="104" spans="1:14" ht="15.75" customHeight="1" x14ac:dyDescent="0.3">
      <c r="A104" s="6" t="s">
        <v>237</v>
      </c>
      <c r="B104" s="15">
        <v>45495</v>
      </c>
      <c r="C104" s="8" t="s">
        <v>15</v>
      </c>
      <c r="D104" s="8" t="s">
        <v>16</v>
      </c>
      <c r="E104" s="8" t="s">
        <v>17</v>
      </c>
      <c r="F104" s="8" t="s">
        <v>18</v>
      </c>
      <c r="G104" s="8" t="s">
        <v>19</v>
      </c>
      <c r="H104" s="8">
        <v>1</v>
      </c>
      <c r="I104" s="8">
        <v>249.99</v>
      </c>
      <c r="J104" s="8" t="s">
        <v>57</v>
      </c>
      <c r="K104" s="8" t="s">
        <v>40</v>
      </c>
      <c r="L104" s="8" t="s">
        <v>27</v>
      </c>
      <c r="M104" s="7">
        <v>45332</v>
      </c>
      <c r="N104" s="9">
        <v>249.99</v>
      </c>
    </row>
    <row r="105" spans="1:14" ht="15.75" customHeight="1" x14ac:dyDescent="0.3">
      <c r="A105" s="6" t="s">
        <v>238</v>
      </c>
      <c r="B105" s="15">
        <v>45496</v>
      </c>
      <c r="C105" s="8" t="s">
        <v>226</v>
      </c>
      <c r="D105" s="8" t="s">
        <v>227</v>
      </c>
      <c r="E105" s="8" t="s">
        <v>80</v>
      </c>
      <c r="F105" s="8" t="s">
        <v>81</v>
      </c>
      <c r="G105" s="8" t="s">
        <v>19</v>
      </c>
      <c r="H105" s="8">
        <v>2</v>
      </c>
      <c r="I105" s="8">
        <v>699.99</v>
      </c>
      <c r="J105" s="8" t="s">
        <v>57</v>
      </c>
      <c r="K105" s="8" t="s">
        <v>21</v>
      </c>
      <c r="L105" s="8" t="s">
        <v>27</v>
      </c>
      <c r="M105" s="7">
        <v>44870</v>
      </c>
      <c r="N105" s="9">
        <v>1399.98</v>
      </c>
    </row>
    <row r="106" spans="1:14" ht="15.75" customHeight="1" x14ac:dyDescent="0.3">
      <c r="A106" s="6" t="s">
        <v>239</v>
      </c>
      <c r="B106" s="15">
        <v>45497</v>
      </c>
      <c r="C106" s="8" t="s">
        <v>138</v>
      </c>
      <c r="D106" s="8" t="s">
        <v>139</v>
      </c>
      <c r="E106" s="8" t="s">
        <v>31</v>
      </c>
      <c r="F106" s="8" t="s">
        <v>32</v>
      </c>
      <c r="G106" s="8" t="s">
        <v>33</v>
      </c>
      <c r="H106" s="8">
        <v>3</v>
      </c>
      <c r="I106" s="8">
        <v>59.99</v>
      </c>
      <c r="J106" s="8" t="s">
        <v>26</v>
      </c>
      <c r="K106" s="8" t="s">
        <v>21</v>
      </c>
      <c r="L106" s="8" t="s">
        <v>27</v>
      </c>
      <c r="M106" s="7">
        <v>44717</v>
      </c>
      <c r="N106" s="9">
        <v>179.97</v>
      </c>
    </row>
    <row r="107" spans="1:14" ht="15.75" customHeight="1" x14ac:dyDescent="0.3">
      <c r="A107" s="6" t="s">
        <v>240</v>
      </c>
      <c r="B107" s="15">
        <v>45498</v>
      </c>
      <c r="C107" s="8" t="s">
        <v>132</v>
      </c>
      <c r="D107" s="8" t="s">
        <v>133</v>
      </c>
      <c r="E107" s="8" t="s">
        <v>31</v>
      </c>
      <c r="F107" s="8" t="s">
        <v>32</v>
      </c>
      <c r="G107" s="8" t="s">
        <v>33</v>
      </c>
      <c r="H107" s="8">
        <v>3</v>
      </c>
      <c r="I107" s="8">
        <v>59.99</v>
      </c>
      <c r="J107" s="8" t="s">
        <v>34</v>
      </c>
      <c r="K107" s="8" t="s">
        <v>63</v>
      </c>
      <c r="L107" s="8" t="s">
        <v>36</v>
      </c>
      <c r="M107" s="7">
        <v>44748</v>
      </c>
      <c r="N107" s="9">
        <v>179.97</v>
      </c>
    </row>
    <row r="108" spans="1:14" ht="15.75" customHeight="1" x14ac:dyDescent="0.3">
      <c r="A108" s="6" t="s">
        <v>241</v>
      </c>
      <c r="B108" s="15">
        <v>45499</v>
      </c>
      <c r="C108" s="8" t="s">
        <v>141</v>
      </c>
      <c r="D108" s="8" t="s">
        <v>142</v>
      </c>
      <c r="E108" s="8" t="s">
        <v>114</v>
      </c>
      <c r="F108" s="8" t="s">
        <v>115</v>
      </c>
      <c r="G108" s="8" t="s">
        <v>33</v>
      </c>
      <c r="H108" s="8">
        <v>4</v>
      </c>
      <c r="I108" s="8">
        <v>79.989999999999995</v>
      </c>
      <c r="J108" s="8" t="s">
        <v>20</v>
      </c>
      <c r="K108" s="8" t="s">
        <v>40</v>
      </c>
      <c r="L108" s="8" t="s">
        <v>22</v>
      </c>
      <c r="M108" s="7">
        <v>44530</v>
      </c>
      <c r="N108" s="9">
        <v>319.95999999999998</v>
      </c>
    </row>
    <row r="109" spans="1:14" ht="15.75" customHeight="1" x14ac:dyDescent="0.3">
      <c r="A109" s="6" t="s">
        <v>242</v>
      </c>
      <c r="B109" s="15">
        <v>45500</v>
      </c>
      <c r="C109" s="8" t="s">
        <v>55</v>
      </c>
      <c r="D109" s="8" t="s">
        <v>56</v>
      </c>
      <c r="E109" s="8" t="s">
        <v>114</v>
      </c>
      <c r="F109" s="8" t="s">
        <v>115</v>
      </c>
      <c r="G109" s="8" t="s">
        <v>33</v>
      </c>
      <c r="H109" s="8">
        <v>1</v>
      </c>
      <c r="I109" s="8">
        <v>79.989999999999995</v>
      </c>
      <c r="J109" s="8" t="s">
        <v>20</v>
      </c>
      <c r="K109" s="8" t="s">
        <v>50</v>
      </c>
      <c r="L109" s="8" t="s">
        <v>22</v>
      </c>
      <c r="M109" s="7">
        <v>44693</v>
      </c>
      <c r="N109" s="9">
        <v>79.989999999999995</v>
      </c>
    </row>
    <row r="110" spans="1:14" ht="15.75" customHeight="1" x14ac:dyDescent="0.3">
      <c r="A110" s="6" t="s">
        <v>243</v>
      </c>
      <c r="B110" s="15">
        <v>45501</v>
      </c>
      <c r="C110" s="8" t="s">
        <v>48</v>
      </c>
      <c r="D110" s="8" t="s">
        <v>49</v>
      </c>
      <c r="E110" s="8" t="s">
        <v>105</v>
      </c>
      <c r="F110" s="8" t="s">
        <v>106</v>
      </c>
      <c r="G110" s="8" t="s">
        <v>46</v>
      </c>
      <c r="H110" s="8">
        <v>3</v>
      </c>
      <c r="I110" s="8">
        <v>299.99</v>
      </c>
      <c r="J110" s="8" t="s">
        <v>26</v>
      </c>
      <c r="K110" s="8" t="s">
        <v>21</v>
      </c>
      <c r="L110" s="8" t="s">
        <v>27</v>
      </c>
      <c r="M110" s="7">
        <v>44494</v>
      </c>
      <c r="N110" s="9">
        <v>899.97</v>
      </c>
    </row>
    <row r="111" spans="1:14" ht="15.75" customHeight="1" x14ac:dyDescent="0.3">
      <c r="A111" s="6" t="s">
        <v>244</v>
      </c>
      <c r="B111" s="15">
        <v>45502</v>
      </c>
      <c r="C111" s="8" t="s">
        <v>38</v>
      </c>
      <c r="D111" s="8" t="s">
        <v>39</v>
      </c>
      <c r="E111" s="8" t="s">
        <v>117</v>
      </c>
      <c r="F111" s="8" t="s">
        <v>118</v>
      </c>
      <c r="G111" s="8" t="s">
        <v>19</v>
      </c>
      <c r="H111" s="8">
        <v>2</v>
      </c>
      <c r="I111" s="8">
        <v>89.99</v>
      </c>
      <c r="J111" s="8" t="s">
        <v>26</v>
      </c>
      <c r="K111" s="8" t="s">
        <v>35</v>
      </c>
      <c r="L111" s="8" t="s">
        <v>27</v>
      </c>
      <c r="M111" s="7">
        <v>44641</v>
      </c>
      <c r="N111" s="9">
        <v>179.98</v>
      </c>
    </row>
    <row r="112" spans="1:14" ht="15.75" customHeight="1" x14ac:dyDescent="0.3">
      <c r="A112" s="6" t="s">
        <v>245</v>
      </c>
      <c r="B112" s="15">
        <v>45503</v>
      </c>
      <c r="C112" s="8" t="s">
        <v>246</v>
      </c>
      <c r="D112" s="8" t="s">
        <v>247</v>
      </c>
      <c r="E112" s="8" t="s">
        <v>52</v>
      </c>
      <c r="F112" s="8" t="s">
        <v>53</v>
      </c>
      <c r="G112" s="8" t="s">
        <v>19</v>
      </c>
      <c r="H112" s="8">
        <v>4</v>
      </c>
      <c r="I112" s="8">
        <v>149.99</v>
      </c>
      <c r="J112" s="8" t="s">
        <v>20</v>
      </c>
      <c r="K112" s="8" t="s">
        <v>40</v>
      </c>
      <c r="L112" s="8" t="s">
        <v>22</v>
      </c>
      <c r="M112" s="7">
        <v>44909</v>
      </c>
      <c r="N112" s="9">
        <v>599.96</v>
      </c>
    </row>
    <row r="113" spans="1:14" ht="15.75" customHeight="1" x14ac:dyDescent="0.3">
      <c r="A113" s="6" t="s">
        <v>248</v>
      </c>
      <c r="B113" s="15">
        <v>45504</v>
      </c>
      <c r="C113" s="8" t="s">
        <v>65</v>
      </c>
      <c r="D113" s="8" t="s">
        <v>66</v>
      </c>
      <c r="E113" s="8" t="s">
        <v>17</v>
      </c>
      <c r="F113" s="8" t="s">
        <v>18</v>
      </c>
      <c r="G113" s="8" t="s">
        <v>19</v>
      </c>
      <c r="H113" s="8">
        <v>2</v>
      </c>
      <c r="I113" s="8">
        <v>249.99</v>
      </c>
      <c r="J113" s="8" t="s">
        <v>34</v>
      </c>
      <c r="K113" s="8" t="s">
        <v>35</v>
      </c>
      <c r="L113" s="8" t="s">
        <v>22</v>
      </c>
      <c r="M113" s="7">
        <v>44993</v>
      </c>
      <c r="N113" s="9">
        <v>499.98</v>
      </c>
    </row>
    <row r="114" spans="1:14" ht="15.75" customHeight="1" x14ac:dyDescent="0.3">
      <c r="A114" s="6" t="s">
        <v>249</v>
      </c>
      <c r="B114" s="15">
        <v>45505</v>
      </c>
      <c r="C114" s="8" t="s">
        <v>154</v>
      </c>
      <c r="D114" s="8" t="s">
        <v>155</v>
      </c>
      <c r="E114" s="8" t="s">
        <v>126</v>
      </c>
      <c r="F114" s="8" t="s">
        <v>127</v>
      </c>
      <c r="G114" s="8" t="s">
        <v>46</v>
      </c>
      <c r="H114" s="8">
        <v>4</v>
      </c>
      <c r="I114" s="8">
        <v>199.99</v>
      </c>
      <c r="J114" s="8" t="s">
        <v>57</v>
      </c>
      <c r="K114" s="8" t="s">
        <v>63</v>
      </c>
      <c r="L114" s="8" t="s">
        <v>22</v>
      </c>
      <c r="M114" s="7">
        <v>44458</v>
      </c>
      <c r="N114" s="9">
        <v>799.96</v>
      </c>
    </row>
    <row r="115" spans="1:14" ht="15.75" customHeight="1" x14ac:dyDescent="0.3">
      <c r="A115" s="6" t="s">
        <v>250</v>
      </c>
      <c r="B115" s="15">
        <v>45506</v>
      </c>
      <c r="C115" s="8" t="s">
        <v>147</v>
      </c>
      <c r="D115" s="8" t="s">
        <v>148</v>
      </c>
      <c r="E115" s="8" t="s">
        <v>117</v>
      </c>
      <c r="F115" s="8" t="s">
        <v>118</v>
      </c>
      <c r="G115" s="8" t="s">
        <v>19</v>
      </c>
      <c r="H115" s="8">
        <v>5</v>
      </c>
      <c r="I115" s="8">
        <v>89.99</v>
      </c>
      <c r="J115" s="8" t="s">
        <v>26</v>
      </c>
      <c r="K115" s="8" t="s">
        <v>63</v>
      </c>
      <c r="L115" s="8" t="s">
        <v>27</v>
      </c>
      <c r="M115" s="7">
        <v>44446</v>
      </c>
      <c r="N115" s="9">
        <v>449.95</v>
      </c>
    </row>
    <row r="116" spans="1:14" ht="15.75" customHeight="1" x14ac:dyDescent="0.3">
      <c r="A116" s="6" t="s">
        <v>251</v>
      </c>
      <c r="B116" s="15">
        <v>45507</v>
      </c>
      <c r="C116" s="8" t="s">
        <v>252</v>
      </c>
      <c r="D116" s="8" t="s">
        <v>253</v>
      </c>
      <c r="E116" s="8" t="s">
        <v>52</v>
      </c>
      <c r="F116" s="8" t="s">
        <v>53</v>
      </c>
      <c r="G116" s="8" t="s">
        <v>19</v>
      </c>
      <c r="H116" s="8">
        <v>1</v>
      </c>
      <c r="I116" s="8">
        <v>149.99</v>
      </c>
      <c r="J116" s="8" t="s">
        <v>34</v>
      </c>
      <c r="K116" s="8" t="s">
        <v>63</v>
      </c>
      <c r="L116" s="8" t="s">
        <v>36</v>
      </c>
      <c r="M116" s="7">
        <v>44482</v>
      </c>
      <c r="N116" s="9">
        <v>149.99</v>
      </c>
    </row>
    <row r="117" spans="1:14" ht="15.75" customHeight="1" x14ac:dyDescent="0.3">
      <c r="A117" s="6" t="s">
        <v>254</v>
      </c>
      <c r="B117" s="15">
        <v>45508</v>
      </c>
      <c r="C117" s="8" t="s">
        <v>72</v>
      </c>
      <c r="D117" s="8" t="s">
        <v>73</v>
      </c>
      <c r="E117" s="8" t="s">
        <v>80</v>
      </c>
      <c r="F117" s="8" t="s">
        <v>81</v>
      </c>
      <c r="G117" s="8" t="s">
        <v>19</v>
      </c>
      <c r="H117" s="8">
        <v>4</v>
      </c>
      <c r="I117" s="8">
        <v>699.99</v>
      </c>
      <c r="J117" s="8" t="s">
        <v>34</v>
      </c>
      <c r="K117" s="8" t="s">
        <v>35</v>
      </c>
      <c r="L117" s="8" t="s">
        <v>22</v>
      </c>
      <c r="M117" s="7">
        <v>44618</v>
      </c>
      <c r="N117" s="9">
        <v>2799.96</v>
      </c>
    </row>
    <row r="118" spans="1:14" ht="15.75" customHeight="1" x14ac:dyDescent="0.3">
      <c r="A118" s="6" t="s">
        <v>255</v>
      </c>
      <c r="B118" s="15">
        <v>45509</v>
      </c>
      <c r="C118" s="8" t="s">
        <v>234</v>
      </c>
      <c r="D118" s="8" t="s">
        <v>235</v>
      </c>
      <c r="E118" s="8" t="s">
        <v>61</v>
      </c>
      <c r="F118" s="8" t="s">
        <v>62</v>
      </c>
      <c r="G118" s="8" t="s">
        <v>19</v>
      </c>
      <c r="H118" s="8">
        <v>3</v>
      </c>
      <c r="I118" s="8">
        <v>899.99</v>
      </c>
      <c r="J118" s="8" t="s">
        <v>26</v>
      </c>
      <c r="K118" s="8" t="s">
        <v>40</v>
      </c>
      <c r="L118" s="8" t="s">
        <v>36</v>
      </c>
      <c r="M118" s="7">
        <v>45157</v>
      </c>
      <c r="N118" s="9">
        <v>2699.97</v>
      </c>
    </row>
    <row r="119" spans="1:14" ht="15.75" customHeight="1" x14ac:dyDescent="0.3">
      <c r="A119" s="6" t="s">
        <v>256</v>
      </c>
      <c r="B119" s="15">
        <v>45510</v>
      </c>
      <c r="C119" s="8" t="s">
        <v>112</v>
      </c>
      <c r="D119" s="8" t="s">
        <v>113</v>
      </c>
      <c r="E119" s="8" t="s">
        <v>44</v>
      </c>
      <c r="F119" s="8" t="s">
        <v>45</v>
      </c>
      <c r="G119" s="8" t="s">
        <v>46</v>
      </c>
      <c r="H119" s="8">
        <v>3</v>
      </c>
      <c r="I119" s="8">
        <v>149.99</v>
      </c>
      <c r="J119" s="8" t="s">
        <v>34</v>
      </c>
      <c r="K119" s="8" t="s">
        <v>63</v>
      </c>
      <c r="L119" s="8" t="s">
        <v>22</v>
      </c>
      <c r="M119" s="7">
        <v>44886</v>
      </c>
      <c r="N119" s="9">
        <v>449.97</v>
      </c>
    </row>
    <row r="120" spans="1:14" ht="15.75" customHeight="1" x14ac:dyDescent="0.3">
      <c r="A120" s="6" t="s">
        <v>257</v>
      </c>
      <c r="B120" s="15">
        <v>45511</v>
      </c>
      <c r="C120" s="8" t="s">
        <v>99</v>
      </c>
      <c r="D120" s="8" t="s">
        <v>100</v>
      </c>
      <c r="E120" s="8" t="s">
        <v>105</v>
      </c>
      <c r="F120" s="8" t="s">
        <v>106</v>
      </c>
      <c r="G120" s="8" t="s">
        <v>46</v>
      </c>
      <c r="H120" s="8">
        <v>2</v>
      </c>
      <c r="I120" s="8">
        <v>299.99</v>
      </c>
      <c r="J120" s="8" t="s">
        <v>57</v>
      </c>
      <c r="K120" s="8" t="s">
        <v>21</v>
      </c>
      <c r="L120" s="8" t="s">
        <v>22</v>
      </c>
      <c r="M120" s="7">
        <v>44569</v>
      </c>
      <c r="N120" s="9">
        <v>599.98</v>
      </c>
    </row>
    <row r="121" spans="1:14" ht="15.75" customHeight="1" x14ac:dyDescent="0.3">
      <c r="A121" s="6" t="s">
        <v>258</v>
      </c>
      <c r="B121" s="15">
        <v>45512</v>
      </c>
      <c r="C121" s="8" t="s">
        <v>259</v>
      </c>
      <c r="D121" s="8" t="s">
        <v>260</v>
      </c>
      <c r="E121" s="8" t="s">
        <v>126</v>
      </c>
      <c r="F121" s="8" t="s">
        <v>127</v>
      </c>
      <c r="G121" s="8" t="s">
        <v>46</v>
      </c>
      <c r="H121" s="8">
        <v>1</v>
      </c>
      <c r="I121" s="8">
        <v>199.99</v>
      </c>
      <c r="J121" s="8" t="s">
        <v>57</v>
      </c>
      <c r="K121" s="8" t="s">
        <v>63</v>
      </c>
      <c r="L121" s="8" t="s">
        <v>36</v>
      </c>
      <c r="M121" s="7">
        <v>44953</v>
      </c>
      <c r="N121" s="9">
        <v>199.99</v>
      </c>
    </row>
    <row r="122" spans="1:14" ht="15.75" customHeight="1" x14ac:dyDescent="0.3">
      <c r="A122" s="6" t="s">
        <v>261</v>
      </c>
      <c r="B122" s="15">
        <v>45513</v>
      </c>
      <c r="C122" s="8" t="s">
        <v>42</v>
      </c>
      <c r="D122" s="8" t="s">
        <v>43</v>
      </c>
      <c r="E122" s="8" t="s">
        <v>105</v>
      </c>
      <c r="F122" s="8" t="s">
        <v>106</v>
      </c>
      <c r="G122" s="8" t="s">
        <v>46</v>
      </c>
      <c r="H122" s="8">
        <v>4</v>
      </c>
      <c r="I122" s="8">
        <v>299.99</v>
      </c>
      <c r="J122" s="8" t="s">
        <v>20</v>
      </c>
      <c r="K122" s="8" t="s">
        <v>21</v>
      </c>
      <c r="L122" s="8" t="s">
        <v>27</v>
      </c>
      <c r="M122" s="7">
        <v>44460</v>
      </c>
      <c r="N122" s="9">
        <v>1199.96</v>
      </c>
    </row>
    <row r="123" spans="1:14" ht="15.75" customHeight="1" x14ac:dyDescent="0.3">
      <c r="A123" s="6" t="s">
        <v>262</v>
      </c>
      <c r="B123" s="15">
        <v>45514</v>
      </c>
      <c r="C123" s="8" t="s">
        <v>89</v>
      </c>
      <c r="D123" s="8" t="s">
        <v>90</v>
      </c>
      <c r="E123" s="8" t="s">
        <v>31</v>
      </c>
      <c r="F123" s="8" t="s">
        <v>32</v>
      </c>
      <c r="G123" s="8" t="s">
        <v>33</v>
      </c>
      <c r="H123" s="8">
        <v>2</v>
      </c>
      <c r="I123" s="8">
        <v>59.99</v>
      </c>
      <c r="J123" s="8" t="s">
        <v>26</v>
      </c>
      <c r="K123" s="8" t="s">
        <v>21</v>
      </c>
      <c r="L123" s="8" t="s">
        <v>22</v>
      </c>
      <c r="M123" s="7">
        <v>44579</v>
      </c>
      <c r="N123" s="9">
        <v>119.98</v>
      </c>
    </row>
    <row r="124" spans="1:14" ht="15.75" customHeight="1" x14ac:dyDescent="0.3">
      <c r="A124" s="6" t="s">
        <v>263</v>
      </c>
      <c r="B124" s="15">
        <v>45515</v>
      </c>
      <c r="C124" s="8" t="s">
        <v>234</v>
      </c>
      <c r="D124" s="8" t="s">
        <v>235</v>
      </c>
      <c r="E124" s="8" t="s">
        <v>52</v>
      </c>
      <c r="F124" s="8" t="s">
        <v>53</v>
      </c>
      <c r="G124" s="8" t="s">
        <v>19</v>
      </c>
      <c r="H124" s="8">
        <v>4</v>
      </c>
      <c r="I124" s="8">
        <v>149.99</v>
      </c>
      <c r="J124" s="8" t="s">
        <v>26</v>
      </c>
      <c r="K124" s="8" t="s">
        <v>40</v>
      </c>
      <c r="L124" s="8" t="s">
        <v>27</v>
      </c>
      <c r="M124" s="7">
        <v>45076</v>
      </c>
      <c r="N124" s="9">
        <v>599.96</v>
      </c>
    </row>
    <row r="125" spans="1:14" ht="15.75" customHeight="1" x14ac:dyDescent="0.3">
      <c r="A125" s="6" t="s">
        <v>264</v>
      </c>
      <c r="B125" s="15">
        <v>45516</v>
      </c>
      <c r="C125" s="8" t="s">
        <v>211</v>
      </c>
      <c r="D125" s="8" t="s">
        <v>212</v>
      </c>
      <c r="E125" s="8" t="s">
        <v>80</v>
      </c>
      <c r="F125" s="8" t="s">
        <v>81</v>
      </c>
      <c r="G125" s="8" t="s">
        <v>19</v>
      </c>
      <c r="H125" s="8">
        <v>2</v>
      </c>
      <c r="I125" s="8">
        <v>699.99</v>
      </c>
      <c r="J125" s="8" t="s">
        <v>57</v>
      </c>
      <c r="K125" s="8" t="s">
        <v>63</v>
      </c>
      <c r="L125" s="8" t="s">
        <v>27</v>
      </c>
      <c r="M125" s="7">
        <v>45274</v>
      </c>
      <c r="N125" s="9">
        <v>1399.98</v>
      </c>
    </row>
    <row r="126" spans="1:14" ht="15.75" customHeight="1" x14ac:dyDescent="0.3">
      <c r="A126" s="6" t="s">
        <v>265</v>
      </c>
      <c r="B126" s="15">
        <v>45517</v>
      </c>
      <c r="C126" s="8" t="s">
        <v>231</v>
      </c>
      <c r="D126" s="8" t="s">
        <v>232</v>
      </c>
      <c r="E126" s="8" t="s">
        <v>44</v>
      </c>
      <c r="F126" s="8" t="s">
        <v>45</v>
      </c>
      <c r="G126" s="8" t="s">
        <v>46</v>
      </c>
      <c r="H126" s="8">
        <v>3</v>
      </c>
      <c r="I126" s="8">
        <v>149.99</v>
      </c>
      <c r="J126" s="8" t="s">
        <v>26</v>
      </c>
      <c r="K126" s="8" t="s">
        <v>35</v>
      </c>
      <c r="L126" s="8" t="s">
        <v>36</v>
      </c>
      <c r="M126" s="7">
        <v>44940</v>
      </c>
      <c r="N126" s="9">
        <v>449.97</v>
      </c>
    </row>
    <row r="127" spans="1:14" ht="15.75" customHeight="1" x14ac:dyDescent="0.3">
      <c r="A127" s="6" t="s">
        <v>266</v>
      </c>
      <c r="B127" s="15">
        <v>45518</v>
      </c>
      <c r="C127" s="8" t="s">
        <v>147</v>
      </c>
      <c r="D127" s="8" t="s">
        <v>148</v>
      </c>
      <c r="E127" s="8" t="s">
        <v>105</v>
      </c>
      <c r="F127" s="8" t="s">
        <v>106</v>
      </c>
      <c r="G127" s="8" t="s">
        <v>46</v>
      </c>
      <c r="H127" s="8">
        <v>3</v>
      </c>
      <c r="I127" s="8">
        <v>299.99</v>
      </c>
      <c r="J127" s="8" t="s">
        <v>26</v>
      </c>
      <c r="K127" s="8" t="s">
        <v>21</v>
      </c>
      <c r="L127" s="8" t="s">
        <v>36</v>
      </c>
      <c r="M127" s="7">
        <v>45174</v>
      </c>
      <c r="N127" s="9">
        <v>899.97</v>
      </c>
    </row>
    <row r="128" spans="1:14" ht="15.75" customHeight="1" x14ac:dyDescent="0.3">
      <c r="A128" s="6" t="s">
        <v>267</v>
      </c>
      <c r="B128" s="15">
        <v>45519</v>
      </c>
      <c r="C128" s="8" t="s">
        <v>83</v>
      </c>
      <c r="D128" s="8" t="s">
        <v>84</v>
      </c>
      <c r="E128" s="8" t="s">
        <v>61</v>
      </c>
      <c r="F128" s="8" t="s">
        <v>62</v>
      </c>
      <c r="G128" s="8" t="s">
        <v>19</v>
      </c>
      <c r="H128" s="8">
        <v>3</v>
      </c>
      <c r="I128" s="8">
        <v>899.99</v>
      </c>
      <c r="J128" s="8" t="s">
        <v>34</v>
      </c>
      <c r="K128" s="8" t="s">
        <v>50</v>
      </c>
      <c r="L128" s="8" t="s">
        <v>22</v>
      </c>
      <c r="M128" s="7">
        <v>45215</v>
      </c>
      <c r="N128" s="9">
        <v>2699.97</v>
      </c>
    </row>
    <row r="129" spans="1:14" ht="15.75" customHeight="1" x14ac:dyDescent="0.3">
      <c r="A129" s="6" t="s">
        <v>268</v>
      </c>
      <c r="B129" s="15">
        <v>45520</v>
      </c>
      <c r="C129" s="8" t="s">
        <v>96</v>
      </c>
      <c r="D129" s="8" t="s">
        <v>97</v>
      </c>
      <c r="E129" s="8" t="s">
        <v>80</v>
      </c>
      <c r="F129" s="8" t="s">
        <v>81</v>
      </c>
      <c r="G129" s="8" t="s">
        <v>19</v>
      </c>
      <c r="H129" s="8">
        <v>5</v>
      </c>
      <c r="I129" s="8">
        <v>699.99</v>
      </c>
      <c r="J129" s="8" t="s">
        <v>20</v>
      </c>
      <c r="K129" s="8" t="s">
        <v>63</v>
      </c>
      <c r="L129" s="8" t="s">
        <v>36</v>
      </c>
      <c r="M129" s="7">
        <v>45008</v>
      </c>
      <c r="N129" s="9">
        <v>3499.95</v>
      </c>
    </row>
    <row r="130" spans="1:14" ht="15.75" customHeight="1" x14ac:dyDescent="0.3">
      <c r="A130" s="6" t="s">
        <v>269</v>
      </c>
      <c r="B130" s="15">
        <v>45521</v>
      </c>
      <c r="C130" s="8" t="s">
        <v>171</v>
      </c>
      <c r="D130" s="8" t="s">
        <v>172</v>
      </c>
      <c r="E130" s="8" t="s">
        <v>80</v>
      </c>
      <c r="F130" s="8" t="s">
        <v>81</v>
      </c>
      <c r="G130" s="8" t="s">
        <v>19</v>
      </c>
      <c r="H130" s="8">
        <v>4</v>
      </c>
      <c r="I130" s="8">
        <v>699.99</v>
      </c>
      <c r="J130" s="8" t="s">
        <v>26</v>
      </c>
      <c r="K130" s="8" t="s">
        <v>21</v>
      </c>
      <c r="L130" s="8" t="s">
        <v>22</v>
      </c>
      <c r="M130" s="7">
        <v>45385</v>
      </c>
      <c r="N130" s="9">
        <v>2799.96</v>
      </c>
    </row>
    <row r="131" spans="1:14" ht="15.75" customHeight="1" x14ac:dyDescent="0.3">
      <c r="A131" s="6" t="s">
        <v>270</v>
      </c>
      <c r="B131" s="15">
        <v>45522</v>
      </c>
      <c r="C131" s="8" t="s">
        <v>150</v>
      </c>
      <c r="D131" s="8" t="s">
        <v>151</v>
      </c>
      <c r="E131" s="8" t="s">
        <v>61</v>
      </c>
      <c r="F131" s="8" t="s">
        <v>62</v>
      </c>
      <c r="G131" s="8" t="s">
        <v>19</v>
      </c>
      <c r="H131" s="8">
        <v>1</v>
      </c>
      <c r="I131" s="8">
        <v>899.99</v>
      </c>
      <c r="J131" s="8" t="s">
        <v>26</v>
      </c>
      <c r="K131" s="8" t="s">
        <v>63</v>
      </c>
      <c r="L131" s="8" t="s">
        <v>36</v>
      </c>
      <c r="M131" s="7">
        <v>45369</v>
      </c>
      <c r="N131" s="9">
        <v>899.99</v>
      </c>
    </row>
    <row r="132" spans="1:14" ht="15.75" customHeight="1" x14ac:dyDescent="0.3">
      <c r="A132" s="6" t="s">
        <v>271</v>
      </c>
      <c r="B132" s="15">
        <v>45523</v>
      </c>
      <c r="C132" s="8" t="s">
        <v>226</v>
      </c>
      <c r="D132" s="8" t="s">
        <v>227</v>
      </c>
      <c r="E132" s="8" t="s">
        <v>52</v>
      </c>
      <c r="F132" s="8" t="s">
        <v>53</v>
      </c>
      <c r="G132" s="8" t="s">
        <v>19</v>
      </c>
      <c r="H132" s="8">
        <v>2</v>
      </c>
      <c r="I132" s="8">
        <v>149.99</v>
      </c>
      <c r="J132" s="8" t="s">
        <v>26</v>
      </c>
      <c r="K132" s="8" t="s">
        <v>50</v>
      </c>
      <c r="L132" s="8" t="s">
        <v>22</v>
      </c>
      <c r="M132" s="7">
        <v>44916</v>
      </c>
      <c r="N132" s="9">
        <v>299.98</v>
      </c>
    </row>
    <row r="133" spans="1:14" ht="15.75" customHeight="1" x14ac:dyDescent="0.3">
      <c r="A133" s="6" t="s">
        <v>272</v>
      </c>
      <c r="B133" s="15">
        <v>45524</v>
      </c>
      <c r="C133" s="8" t="s">
        <v>226</v>
      </c>
      <c r="D133" s="8" t="s">
        <v>227</v>
      </c>
      <c r="E133" s="8" t="s">
        <v>117</v>
      </c>
      <c r="F133" s="8" t="s">
        <v>118</v>
      </c>
      <c r="G133" s="8" t="s">
        <v>19</v>
      </c>
      <c r="H133" s="8">
        <v>3</v>
      </c>
      <c r="I133" s="8">
        <v>89.99</v>
      </c>
      <c r="J133" s="8" t="s">
        <v>34</v>
      </c>
      <c r="K133" s="8" t="s">
        <v>21</v>
      </c>
      <c r="L133" s="8" t="s">
        <v>22</v>
      </c>
      <c r="M133" s="7">
        <v>44551</v>
      </c>
      <c r="N133" s="9">
        <v>269.97000000000003</v>
      </c>
    </row>
    <row r="134" spans="1:14" ht="15.75" customHeight="1" x14ac:dyDescent="0.3">
      <c r="A134" s="6" t="s">
        <v>273</v>
      </c>
      <c r="B134" s="15">
        <v>45525</v>
      </c>
      <c r="C134" s="8" t="s">
        <v>38</v>
      </c>
      <c r="D134" s="8" t="s">
        <v>39</v>
      </c>
      <c r="E134" s="8" t="s">
        <v>52</v>
      </c>
      <c r="F134" s="8" t="s">
        <v>53</v>
      </c>
      <c r="G134" s="8" t="s">
        <v>19</v>
      </c>
      <c r="H134" s="8">
        <v>2</v>
      </c>
      <c r="I134" s="8">
        <v>149.99</v>
      </c>
      <c r="J134" s="8" t="s">
        <v>34</v>
      </c>
      <c r="K134" s="8" t="s">
        <v>21</v>
      </c>
      <c r="L134" s="8" t="s">
        <v>22</v>
      </c>
      <c r="M134" s="7">
        <v>44473</v>
      </c>
      <c r="N134" s="9">
        <v>299.98</v>
      </c>
    </row>
    <row r="135" spans="1:14" ht="15.75" customHeight="1" x14ac:dyDescent="0.3">
      <c r="A135" s="6" t="s">
        <v>274</v>
      </c>
      <c r="B135" s="15">
        <v>45526</v>
      </c>
      <c r="C135" s="8" t="s">
        <v>154</v>
      </c>
      <c r="D135" s="8" t="s">
        <v>155</v>
      </c>
      <c r="E135" s="8" t="s">
        <v>80</v>
      </c>
      <c r="F135" s="8" t="s">
        <v>81</v>
      </c>
      <c r="G135" s="8" t="s">
        <v>19</v>
      </c>
      <c r="H135" s="8">
        <v>2</v>
      </c>
      <c r="I135" s="8">
        <v>699.99</v>
      </c>
      <c r="J135" s="8" t="s">
        <v>20</v>
      </c>
      <c r="K135" s="8" t="s">
        <v>21</v>
      </c>
      <c r="L135" s="8" t="s">
        <v>22</v>
      </c>
      <c r="M135" s="7">
        <v>44992</v>
      </c>
      <c r="N135" s="9">
        <v>1399.98</v>
      </c>
    </row>
    <row r="136" spans="1:14" ht="15.75" customHeight="1" x14ac:dyDescent="0.3">
      <c r="A136" s="6" t="s">
        <v>275</v>
      </c>
      <c r="B136" s="15">
        <v>45527</v>
      </c>
      <c r="C136" s="8" t="s">
        <v>158</v>
      </c>
      <c r="D136" s="8" t="s">
        <v>159</v>
      </c>
      <c r="E136" s="8" t="s">
        <v>80</v>
      </c>
      <c r="F136" s="8" t="s">
        <v>81</v>
      </c>
      <c r="G136" s="8" t="s">
        <v>19</v>
      </c>
      <c r="H136" s="8">
        <v>5</v>
      </c>
      <c r="I136" s="8">
        <v>699.99</v>
      </c>
      <c r="J136" s="8" t="s">
        <v>20</v>
      </c>
      <c r="K136" s="8" t="s">
        <v>40</v>
      </c>
      <c r="L136" s="8" t="s">
        <v>27</v>
      </c>
      <c r="M136" s="7">
        <v>44635</v>
      </c>
      <c r="N136" s="9">
        <v>3499.95</v>
      </c>
    </row>
    <row r="137" spans="1:14" ht="15.75" customHeight="1" x14ac:dyDescent="0.3">
      <c r="A137" s="6" t="s">
        <v>276</v>
      </c>
      <c r="B137" s="15">
        <v>45528</v>
      </c>
      <c r="C137" s="8" t="s">
        <v>171</v>
      </c>
      <c r="D137" s="8" t="s">
        <v>172</v>
      </c>
      <c r="E137" s="8" t="s">
        <v>117</v>
      </c>
      <c r="F137" s="8" t="s">
        <v>118</v>
      </c>
      <c r="G137" s="8" t="s">
        <v>19</v>
      </c>
      <c r="H137" s="8">
        <v>3</v>
      </c>
      <c r="I137" s="8">
        <v>89.99</v>
      </c>
      <c r="J137" s="8" t="s">
        <v>26</v>
      </c>
      <c r="K137" s="8" t="s">
        <v>40</v>
      </c>
      <c r="L137" s="8" t="s">
        <v>36</v>
      </c>
      <c r="M137" s="7">
        <v>44615</v>
      </c>
      <c r="N137" s="9">
        <v>269.97000000000003</v>
      </c>
    </row>
    <row r="138" spans="1:14" ht="15.75" customHeight="1" x14ac:dyDescent="0.3">
      <c r="A138" s="6" t="s">
        <v>277</v>
      </c>
      <c r="B138" s="15">
        <v>45529</v>
      </c>
      <c r="C138" s="8" t="s">
        <v>15</v>
      </c>
      <c r="D138" s="8" t="s">
        <v>16</v>
      </c>
      <c r="E138" s="8" t="s">
        <v>17</v>
      </c>
      <c r="F138" s="8" t="s">
        <v>18</v>
      </c>
      <c r="G138" s="8" t="s">
        <v>19</v>
      </c>
      <c r="H138" s="8">
        <v>5</v>
      </c>
      <c r="I138" s="8">
        <v>249.99</v>
      </c>
      <c r="J138" s="8" t="s">
        <v>26</v>
      </c>
      <c r="K138" s="8" t="s">
        <v>35</v>
      </c>
      <c r="L138" s="8" t="s">
        <v>36</v>
      </c>
      <c r="M138" s="7">
        <v>44881</v>
      </c>
      <c r="N138" s="9">
        <v>1249.95</v>
      </c>
    </row>
    <row r="139" spans="1:14" ht="15.75" customHeight="1" x14ac:dyDescent="0.3">
      <c r="A139" s="6" t="s">
        <v>278</v>
      </c>
      <c r="B139" s="15">
        <v>45530</v>
      </c>
      <c r="C139" s="8" t="s">
        <v>65</v>
      </c>
      <c r="D139" s="8" t="s">
        <v>66</v>
      </c>
      <c r="E139" s="8" t="s">
        <v>105</v>
      </c>
      <c r="F139" s="8" t="s">
        <v>106</v>
      </c>
      <c r="G139" s="8" t="s">
        <v>46</v>
      </c>
      <c r="H139" s="8">
        <v>3</v>
      </c>
      <c r="I139" s="8">
        <v>299.99</v>
      </c>
      <c r="J139" s="8" t="s">
        <v>26</v>
      </c>
      <c r="K139" s="8" t="s">
        <v>35</v>
      </c>
      <c r="L139" s="8" t="s">
        <v>36</v>
      </c>
      <c r="M139" s="7">
        <v>44502</v>
      </c>
      <c r="N139" s="9">
        <v>899.97</v>
      </c>
    </row>
    <row r="140" spans="1:14" ht="15.75" customHeight="1" x14ac:dyDescent="0.3">
      <c r="A140" s="6" t="s">
        <v>279</v>
      </c>
      <c r="B140" s="15">
        <v>45531</v>
      </c>
      <c r="C140" s="8" t="s">
        <v>99</v>
      </c>
      <c r="D140" s="8" t="s">
        <v>100</v>
      </c>
      <c r="E140" s="8" t="s">
        <v>117</v>
      </c>
      <c r="F140" s="8" t="s">
        <v>118</v>
      </c>
      <c r="G140" s="8" t="s">
        <v>19</v>
      </c>
      <c r="H140" s="8">
        <v>3</v>
      </c>
      <c r="I140" s="8">
        <v>89.99</v>
      </c>
      <c r="J140" s="8" t="s">
        <v>26</v>
      </c>
      <c r="K140" s="8" t="s">
        <v>40</v>
      </c>
      <c r="L140" s="8" t="s">
        <v>27</v>
      </c>
      <c r="M140" s="7">
        <v>44420</v>
      </c>
      <c r="N140" s="9">
        <v>269.97000000000003</v>
      </c>
    </row>
    <row r="141" spans="1:14" ht="15.75" customHeight="1" x14ac:dyDescent="0.3">
      <c r="A141" s="6" t="s">
        <v>280</v>
      </c>
      <c r="B141" s="15">
        <v>45532</v>
      </c>
      <c r="C141" s="8" t="s">
        <v>89</v>
      </c>
      <c r="D141" s="8" t="s">
        <v>90</v>
      </c>
      <c r="E141" s="8" t="s">
        <v>44</v>
      </c>
      <c r="F141" s="8" t="s">
        <v>45</v>
      </c>
      <c r="G141" s="8" t="s">
        <v>46</v>
      </c>
      <c r="H141" s="8">
        <v>2</v>
      </c>
      <c r="I141" s="8">
        <v>149.99</v>
      </c>
      <c r="J141" s="8" t="s">
        <v>26</v>
      </c>
      <c r="K141" s="8" t="s">
        <v>50</v>
      </c>
      <c r="L141" s="8" t="s">
        <v>27</v>
      </c>
      <c r="M141" s="7">
        <v>44848</v>
      </c>
      <c r="N141" s="9">
        <v>299.98</v>
      </c>
    </row>
    <row r="142" spans="1:14" ht="15.75" customHeight="1" x14ac:dyDescent="0.3">
      <c r="A142" s="6" t="s">
        <v>281</v>
      </c>
      <c r="B142" s="15">
        <v>45533</v>
      </c>
      <c r="C142" s="8" t="s">
        <v>185</v>
      </c>
      <c r="D142" s="8" t="s">
        <v>186</v>
      </c>
      <c r="E142" s="8" t="s">
        <v>17</v>
      </c>
      <c r="F142" s="8" t="s">
        <v>18</v>
      </c>
      <c r="G142" s="8" t="s">
        <v>19</v>
      </c>
      <c r="H142" s="8">
        <v>1</v>
      </c>
      <c r="I142" s="8">
        <v>249.99</v>
      </c>
      <c r="J142" s="8" t="s">
        <v>26</v>
      </c>
      <c r="K142" s="8" t="s">
        <v>40</v>
      </c>
      <c r="L142" s="8" t="s">
        <v>27</v>
      </c>
      <c r="M142" s="7">
        <v>44828</v>
      </c>
      <c r="N142" s="9">
        <v>249.99</v>
      </c>
    </row>
    <row r="143" spans="1:14" ht="15.75" customHeight="1" x14ac:dyDescent="0.3">
      <c r="A143" s="6" t="s">
        <v>282</v>
      </c>
      <c r="B143" s="15">
        <v>45534</v>
      </c>
      <c r="C143" s="8" t="s">
        <v>72</v>
      </c>
      <c r="D143" s="8" t="s">
        <v>73</v>
      </c>
      <c r="E143" s="8" t="s">
        <v>52</v>
      </c>
      <c r="F143" s="8" t="s">
        <v>53</v>
      </c>
      <c r="G143" s="8" t="s">
        <v>19</v>
      </c>
      <c r="H143" s="8">
        <v>3</v>
      </c>
      <c r="I143" s="8">
        <v>149.99</v>
      </c>
      <c r="J143" s="8" t="s">
        <v>20</v>
      </c>
      <c r="K143" s="8" t="s">
        <v>40</v>
      </c>
      <c r="L143" s="8" t="s">
        <v>22</v>
      </c>
      <c r="M143" s="7">
        <v>44769</v>
      </c>
      <c r="N143" s="9">
        <v>449.97</v>
      </c>
    </row>
    <row r="144" spans="1:14" ht="15.75" customHeight="1" x14ac:dyDescent="0.3">
      <c r="A144" s="6" t="s">
        <v>283</v>
      </c>
      <c r="B144" s="15">
        <v>45535</v>
      </c>
      <c r="C144" s="8" t="s">
        <v>15</v>
      </c>
      <c r="D144" s="8" t="s">
        <v>16</v>
      </c>
      <c r="E144" s="8" t="s">
        <v>31</v>
      </c>
      <c r="F144" s="8" t="s">
        <v>32</v>
      </c>
      <c r="G144" s="8" t="s">
        <v>33</v>
      </c>
      <c r="H144" s="8">
        <v>5</v>
      </c>
      <c r="I144" s="8">
        <v>59.99</v>
      </c>
      <c r="J144" s="8" t="s">
        <v>34</v>
      </c>
      <c r="K144" s="8" t="s">
        <v>50</v>
      </c>
      <c r="L144" s="8" t="s">
        <v>27</v>
      </c>
      <c r="M144" s="7">
        <v>44694</v>
      </c>
      <c r="N144" s="9">
        <v>299.95</v>
      </c>
    </row>
    <row r="145" spans="1:14" ht="15.75" customHeight="1" x14ac:dyDescent="0.3">
      <c r="A145" s="6" t="s">
        <v>284</v>
      </c>
      <c r="B145" s="15">
        <v>45536</v>
      </c>
      <c r="C145" s="8" t="s">
        <v>99</v>
      </c>
      <c r="D145" s="8" t="s">
        <v>100</v>
      </c>
      <c r="E145" s="8" t="s">
        <v>17</v>
      </c>
      <c r="F145" s="8" t="s">
        <v>18</v>
      </c>
      <c r="G145" s="8" t="s">
        <v>19</v>
      </c>
      <c r="H145" s="8">
        <v>4</v>
      </c>
      <c r="I145" s="8">
        <v>249.99</v>
      </c>
      <c r="J145" s="8" t="s">
        <v>26</v>
      </c>
      <c r="K145" s="8" t="s">
        <v>50</v>
      </c>
      <c r="L145" s="8" t="s">
        <v>36</v>
      </c>
      <c r="M145" s="7">
        <v>44659</v>
      </c>
      <c r="N145" s="9">
        <v>999.96</v>
      </c>
    </row>
    <row r="146" spans="1:14" ht="15.75" customHeight="1" x14ac:dyDescent="0.3">
      <c r="A146" s="6" t="s">
        <v>285</v>
      </c>
      <c r="B146" s="15">
        <v>45537</v>
      </c>
      <c r="C146" s="8" t="s">
        <v>154</v>
      </c>
      <c r="D146" s="8" t="s">
        <v>155</v>
      </c>
      <c r="E146" s="8" t="s">
        <v>44</v>
      </c>
      <c r="F146" s="8" t="s">
        <v>45</v>
      </c>
      <c r="G146" s="8" t="s">
        <v>46</v>
      </c>
      <c r="H146" s="8">
        <v>5</v>
      </c>
      <c r="I146" s="8">
        <v>149.99</v>
      </c>
      <c r="J146" s="8" t="s">
        <v>34</v>
      </c>
      <c r="K146" s="8" t="s">
        <v>21</v>
      </c>
      <c r="L146" s="8" t="s">
        <v>22</v>
      </c>
      <c r="M146" s="7">
        <v>44901</v>
      </c>
      <c r="N146" s="9">
        <v>749.95</v>
      </c>
    </row>
    <row r="147" spans="1:14" ht="15.75" customHeight="1" x14ac:dyDescent="0.3">
      <c r="A147" s="6" t="s">
        <v>286</v>
      </c>
      <c r="B147" s="15">
        <v>45538</v>
      </c>
      <c r="C147" s="8" t="s">
        <v>83</v>
      </c>
      <c r="D147" s="8" t="s">
        <v>84</v>
      </c>
      <c r="E147" s="8" t="s">
        <v>31</v>
      </c>
      <c r="F147" s="8" t="s">
        <v>32</v>
      </c>
      <c r="G147" s="8" t="s">
        <v>33</v>
      </c>
      <c r="H147" s="8">
        <v>3</v>
      </c>
      <c r="I147" s="8">
        <v>59.99</v>
      </c>
      <c r="J147" s="8" t="s">
        <v>57</v>
      </c>
      <c r="K147" s="8" t="s">
        <v>35</v>
      </c>
      <c r="L147" s="8" t="s">
        <v>36</v>
      </c>
      <c r="M147" s="7">
        <v>45260</v>
      </c>
      <c r="N147" s="9">
        <v>179.97</v>
      </c>
    </row>
    <row r="148" spans="1:14" ht="15.75" customHeight="1" x14ac:dyDescent="0.3">
      <c r="A148" s="6" t="s">
        <v>287</v>
      </c>
      <c r="B148" s="15">
        <v>45539</v>
      </c>
      <c r="C148" s="8" t="s">
        <v>234</v>
      </c>
      <c r="D148" s="8" t="s">
        <v>235</v>
      </c>
      <c r="E148" s="8" t="s">
        <v>44</v>
      </c>
      <c r="F148" s="8" t="s">
        <v>45</v>
      </c>
      <c r="G148" s="8" t="s">
        <v>46</v>
      </c>
      <c r="H148" s="8">
        <v>5</v>
      </c>
      <c r="I148" s="8">
        <v>149.99</v>
      </c>
      <c r="J148" s="8" t="s">
        <v>20</v>
      </c>
      <c r="K148" s="8" t="s">
        <v>40</v>
      </c>
      <c r="L148" s="8" t="s">
        <v>22</v>
      </c>
      <c r="M148" s="7">
        <v>44869</v>
      </c>
      <c r="N148" s="9">
        <v>749.95</v>
      </c>
    </row>
    <row r="149" spans="1:14" ht="15.75" customHeight="1" x14ac:dyDescent="0.3">
      <c r="A149" s="6" t="s">
        <v>288</v>
      </c>
      <c r="B149" s="15">
        <v>45540</v>
      </c>
      <c r="C149" s="8" t="s">
        <v>86</v>
      </c>
      <c r="D149" s="8" t="s">
        <v>87</v>
      </c>
      <c r="E149" s="8" t="s">
        <v>80</v>
      </c>
      <c r="F149" s="8" t="s">
        <v>81</v>
      </c>
      <c r="G149" s="8" t="s">
        <v>19</v>
      </c>
      <c r="H149" s="8">
        <v>2</v>
      </c>
      <c r="I149" s="8">
        <v>699.99</v>
      </c>
      <c r="J149" s="8" t="s">
        <v>34</v>
      </c>
      <c r="K149" s="8" t="s">
        <v>50</v>
      </c>
      <c r="L149" s="8" t="s">
        <v>36</v>
      </c>
      <c r="M149" s="7">
        <v>44770</v>
      </c>
      <c r="N149" s="9">
        <v>1399.98</v>
      </c>
    </row>
    <row r="150" spans="1:14" ht="15.75" customHeight="1" x14ac:dyDescent="0.3">
      <c r="A150" s="6" t="s">
        <v>289</v>
      </c>
      <c r="B150" s="15">
        <v>45541</v>
      </c>
      <c r="C150" s="8" t="s">
        <v>123</v>
      </c>
      <c r="D150" s="8" t="s">
        <v>124</v>
      </c>
      <c r="E150" s="8" t="s">
        <v>126</v>
      </c>
      <c r="F150" s="8" t="s">
        <v>127</v>
      </c>
      <c r="G150" s="8" t="s">
        <v>46</v>
      </c>
      <c r="H150" s="8">
        <v>4</v>
      </c>
      <c r="I150" s="8">
        <v>199.99</v>
      </c>
      <c r="J150" s="8" t="s">
        <v>57</v>
      </c>
      <c r="K150" s="8" t="s">
        <v>21</v>
      </c>
      <c r="L150" s="8" t="s">
        <v>27</v>
      </c>
      <c r="M150" s="7">
        <v>44427</v>
      </c>
      <c r="N150" s="9">
        <v>799.96</v>
      </c>
    </row>
    <row r="151" spans="1:14" ht="15.75" customHeight="1" x14ac:dyDescent="0.3">
      <c r="A151" s="6" t="s">
        <v>290</v>
      </c>
      <c r="B151" s="15">
        <v>45542</v>
      </c>
      <c r="C151" s="8" t="s">
        <v>192</v>
      </c>
      <c r="D151" s="8" t="s">
        <v>193</v>
      </c>
      <c r="E151" s="8" t="s">
        <v>31</v>
      </c>
      <c r="F151" s="8" t="s">
        <v>32</v>
      </c>
      <c r="G151" s="8" t="s">
        <v>33</v>
      </c>
      <c r="H151" s="8">
        <v>1</v>
      </c>
      <c r="I151" s="8">
        <v>59.99</v>
      </c>
      <c r="J151" s="8" t="s">
        <v>57</v>
      </c>
      <c r="K151" s="8" t="s">
        <v>50</v>
      </c>
      <c r="L151" s="8" t="s">
        <v>36</v>
      </c>
      <c r="M151" s="7">
        <v>44560</v>
      </c>
      <c r="N151" s="9">
        <v>59.99</v>
      </c>
    </row>
    <row r="152" spans="1:14" ht="15.75" customHeight="1" x14ac:dyDescent="0.3">
      <c r="A152" s="6" t="s">
        <v>291</v>
      </c>
      <c r="B152" s="15">
        <v>45543</v>
      </c>
      <c r="C152" s="8" t="s">
        <v>154</v>
      </c>
      <c r="D152" s="8" t="s">
        <v>155</v>
      </c>
      <c r="E152" s="8" t="s">
        <v>80</v>
      </c>
      <c r="F152" s="8" t="s">
        <v>81</v>
      </c>
      <c r="G152" s="8" t="s">
        <v>19</v>
      </c>
      <c r="H152" s="8">
        <v>3</v>
      </c>
      <c r="I152" s="8">
        <v>699.99</v>
      </c>
      <c r="J152" s="8" t="s">
        <v>34</v>
      </c>
      <c r="K152" s="8" t="s">
        <v>50</v>
      </c>
      <c r="L152" s="8" t="s">
        <v>36</v>
      </c>
      <c r="M152" s="7">
        <v>44583</v>
      </c>
      <c r="N152" s="9">
        <v>2099.9699999999998</v>
      </c>
    </row>
    <row r="153" spans="1:14" ht="15.75" customHeight="1" x14ac:dyDescent="0.3">
      <c r="A153" s="6" t="s">
        <v>292</v>
      </c>
      <c r="B153" s="15">
        <v>45544</v>
      </c>
      <c r="C153" s="8" t="s">
        <v>293</v>
      </c>
      <c r="D153" s="8" t="s">
        <v>294</v>
      </c>
      <c r="E153" s="8" t="s">
        <v>17</v>
      </c>
      <c r="F153" s="8" t="s">
        <v>18</v>
      </c>
      <c r="G153" s="8" t="s">
        <v>19</v>
      </c>
      <c r="H153" s="8">
        <v>5</v>
      </c>
      <c r="I153" s="8">
        <v>249.99</v>
      </c>
      <c r="J153" s="8" t="s">
        <v>26</v>
      </c>
      <c r="K153" s="8" t="s">
        <v>40</v>
      </c>
      <c r="L153" s="8" t="s">
        <v>22</v>
      </c>
      <c r="M153" s="7">
        <v>44873</v>
      </c>
      <c r="N153" s="9">
        <v>1249.95</v>
      </c>
    </row>
    <row r="154" spans="1:14" ht="15.75" customHeight="1" x14ac:dyDescent="0.3">
      <c r="A154" s="6" t="s">
        <v>295</v>
      </c>
      <c r="B154" s="15">
        <v>45545</v>
      </c>
      <c r="C154" s="8" t="s">
        <v>112</v>
      </c>
      <c r="D154" s="8" t="s">
        <v>113</v>
      </c>
      <c r="E154" s="8" t="s">
        <v>44</v>
      </c>
      <c r="F154" s="8" t="s">
        <v>45</v>
      </c>
      <c r="G154" s="8" t="s">
        <v>46</v>
      </c>
      <c r="H154" s="8">
        <v>2</v>
      </c>
      <c r="I154" s="8">
        <v>149.99</v>
      </c>
      <c r="J154" s="8" t="s">
        <v>20</v>
      </c>
      <c r="K154" s="8" t="s">
        <v>35</v>
      </c>
      <c r="L154" s="8" t="s">
        <v>36</v>
      </c>
      <c r="M154" s="7">
        <v>45101</v>
      </c>
      <c r="N154" s="9">
        <v>299.98</v>
      </c>
    </row>
    <row r="155" spans="1:14" ht="15.75" customHeight="1" x14ac:dyDescent="0.3">
      <c r="A155" s="6" t="s">
        <v>296</v>
      </c>
      <c r="B155" s="15">
        <v>45546</v>
      </c>
      <c r="C155" s="8" t="s">
        <v>29</v>
      </c>
      <c r="D155" s="8" t="s">
        <v>30</v>
      </c>
      <c r="E155" s="8" t="s">
        <v>105</v>
      </c>
      <c r="F155" s="8" t="s">
        <v>106</v>
      </c>
      <c r="G155" s="8" t="s">
        <v>46</v>
      </c>
      <c r="H155" s="8">
        <v>3</v>
      </c>
      <c r="I155" s="8">
        <v>299.99</v>
      </c>
      <c r="J155" s="8" t="s">
        <v>20</v>
      </c>
      <c r="K155" s="8" t="s">
        <v>35</v>
      </c>
      <c r="L155" s="8" t="s">
        <v>27</v>
      </c>
      <c r="M155" s="7">
        <v>44659</v>
      </c>
      <c r="N155" s="9">
        <v>899.97</v>
      </c>
    </row>
    <row r="156" spans="1:14" ht="15.75" customHeight="1" x14ac:dyDescent="0.3">
      <c r="A156" s="6" t="s">
        <v>297</v>
      </c>
      <c r="B156" s="15">
        <v>45547</v>
      </c>
      <c r="C156" s="8" t="s">
        <v>55</v>
      </c>
      <c r="D156" s="8" t="s">
        <v>56</v>
      </c>
      <c r="E156" s="8" t="s">
        <v>17</v>
      </c>
      <c r="F156" s="8" t="s">
        <v>18</v>
      </c>
      <c r="G156" s="8" t="s">
        <v>19</v>
      </c>
      <c r="H156" s="8">
        <v>5</v>
      </c>
      <c r="I156" s="8">
        <v>249.99</v>
      </c>
      <c r="J156" s="8" t="s">
        <v>20</v>
      </c>
      <c r="K156" s="8" t="s">
        <v>21</v>
      </c>
      <c r="L156" s="8" t="s">
        <v>27</v>
      </c>
      <c r="M156" s="7">
        <v>44485</v>
      </c>
      <c r="N156" s="9">
        <v>1249.95</v>
      </c>
    </row>
    <row r="157" spans="1:14" ht="15.75" customHeight="1" x14ac:dyDescent="0.3">
      <c r="A157" s="6" t="s">
        <v>298</v>
      </c>
      <c r="B157" s="15">
        <v>45548</v>
      </c>
      <c r="C157" s="8" t="s">
        <v>24</v>
      </c>
      <c r="D157" s="8" t="s">
        <v>25</v>
      </c>
      <c r="E157" s="8" t="s">
        <v>52</v>
      </c>
      <c r="F157" s="8" t="s">
        <v>53</v>
      </c>
      <c r="G157" s="8" t="s">
        <v>19</v>
      </c>
      <c r="H157" s="8">
        <v>2</v>
      </c>
      <c r="I157" s="8">
        <v>149.99</v>
      </c>
      <c r="J157" s="8" t="s">
        <v>20</v>
      </c>
      <c r="K157" s="8" t="s">
        <v>35</v>
      </c>
      <c r="L157" s="8" t="s">
        <v>27</v>
      </c>
      <c r="M157" s="7">
        <v>44475</v>
      </c>
      <c r="N157" s="9">
        <v>299.98</v>
      </c>
    </row>
    <row r="158" spans="1:14" ht="15.75" customHeight="1" x14ac:dyDescent="0.3">
      <c r="A158" s="6" t="s">
        <v>299</v>
      </c>
      <c r="B158" s="15">
        <v>45549</v>
      </c>
      <c r="C158" s="8" t="s">
        <v>86</v>
      </c>
      <c r="D158" s="8" t="s">
        <v>87</v>
      </c>
      <c r="E158" s="8" t="s">
        <v>80</v>
      </c>
      <c r="F158" s="8" t="s">
        <v>81</v>
      </c>
      <c r="G158" s="8" t="s">
        <v>19</v>
      </c>
      <c r="H158" s="8">
        <v>5</v>
      </c>
      <c r="I158" s="8">
        <v>699.99</v>
      </c>
      <c r="J158" s="8" t="s">
        <v>57</v>
      </c>
      <c r="K158" s="8" t="s">
        <v>50</v>
      </c>
      <c r="L158" s="8" t="s">
        <v>36</v>
      </c>
      <c r="M158" s="7">
        <v>44944</v>
      </c>
      <c r="N158" s="9">
        <v>3499.95</v>
      </c>
    </row>
    <row r="159" spans="1:14" ht="15.75" customHeight="1" x14ac:dyDescent="0.3">
      <c r="A159" s="6" t="s">
        <v>300</v>
      </c>
      <c r="B159" s="15">
        <v>45550</v>
      </c>
      <c r="C159" s="8" t="s">
        <v>252</v>
      </c>
      <c r="D159" s="8" t="s">
        <v>253</v>
      </c>
      <c r="E159" s="8" t="s">
        <v>17</v>
      </c>
      <c r="F159" s="8" t="s">
        <v>18</v>
      </c>
      <c r="G159" s="8" t="s">
        <v>19</v>
      </c>
      <c r="H159" s="8">
        <v>4</v>
      </c>
      <c r="I159" s="8">
        <v>249.99</v>
      </c>
      <c r="J159" s="8" t="s">
        <v>34</v>
      </c>
      <c r="K159" s="8" t="s">
        <v>63</v>
      </c>
      <c r="L159" s="8" t="s">
        <v>27</v>
      </c>
      <c r="M159" s="7">
        <v>45098</v>
      </c>
      <c r="N159" s="9">
        <v>999.96</v>
      </c>
    </row>
    <row r="160" spans="1:14" ht="15.75" customHeight="1" x14ac:dyDescent="0.3">
      <c r="A160" s="6" t="s">
        <v>301</v>
      </c>
      <c r="B160" s="15">
        <v>45551</v>
      </c>
      <c r="C160" s="8" t="s">
        <v>48</v>
      </c>
      <c r="D160" s="8" t="s">
        <v>49</v>
      </c>
      <c r="E160" s="8" t="s">
        <v>80</v>
      </c>
      <c r="F160" s="8" t="s">
        <v>81</v>
      </c>
      <c r="G160" s="8" t="s">
        <v>19</v>
      </c>
      <c r="H160" s="8">
        <v>4</v>
      </c>
      <c r="I160" s="8">
        <v>699.99</v>
      </c>
      <c r="J160" s="8" t="s">
        <v>26</v>
      </c>
      <c r="K160" s="8" t="s">
        <v>40</v>
      </c>
      <c r="L160" s="8" t="s">
        <v>27</v>
      </c>
      <c r="M160" s="7">
        <v>44703</v>
      </c>
      <c r="N160" s="9">
        <v>2799.96</v>
      </c>
    </row>
    <row r="161" spans="1:14" ht="15.75" customHeight="1" x14ac:dyDescent="0.3">
      <c r="A161" s="6" t="s">
        <v>302</v>
      </c>
      <c r="B161" s="15">
        <v>45552</v>
      </c>
      <c r="C161" s="8" t="s">
        <v>108</v>
      </c>
      <c r="D161" s="8" t="s">
        <v>109</v>
      </c>
      <c r="E161" s="8" t="s">
        <v>17</v>
      </c>
      <c r="F161" s="8" t="s">
        <v>18</v>
      </c>
      <c r="G161" s="8" t="s">
        <v>19</v>
      </c>
      <c r="H161" s="8">
        <v>2</v>
      </c>
      <c r="I161" s="8">
        <v>249.99</v>
      </c>
      <c r="J161" s="8" t="s">
        <v>26</v>
      </c>
      <c r="K161" s="8" t="s">
        <v>21</v>
      </c>
      <c r="L161" s="8" t="s">
        <v>27</v>
      </c>
      <c r="M161" s="7">
        <v>44396</v>
      </c>
      <c r="N161" s="9">
        <v>499.98</v>
      </c>
    </row>
    <row r="162" spans="1:14" ht="15.75" customHeight="1" x14ac:dyDescent="0.3">
      <c r="A162" s="6" t="s">
        <v>303</v>
      </c>
      <c r="B162" s="15">
        <v>45553</v>
      </c>
      <c r="C162" s="8" t="s">
        <v>304</v>
      </c>
      <c r="D162" s="8" t="s">
        <v>305</v>
      </c>
      <c r="E162" s="8" t="s">
        <v>31</v>
      </c>
      <c r="F162" s="8" t="s">
        <v>32</v>
      </c>
      <c r="G162" s="8" t="s">
        <v>33</v>
      </c>
      <c r="H162" s="8">
        <v>3</v>
      </c>
      <c r="I162" s="8">
        <v>59.99</v>
      </c>
      <c r="J162" s="8" t="s">
        <v>20</v>
      </c>
      <c r="K162" s="8" t="s">
        <v>21</v>
      </c>
      <c r="L162" s="8" t="s">
        <v>27</v>
      </c>
      <c r="M162" s="7">
        <v>45052</v>
      </c>
      <c r="N162" s="9">
        <v>179.97</v>
      </c>
    </row>
    <row r="163" spans="1:14" ht="15.75" customHeight="1" x14ac:dyDescent="0.3">
      <c r="A163" s="6" t="s">
        <v>306</v>
      </c>
      <c r="B163" s="15">
        <v>45554</v>
      </c>
      <c r="C163" s="8" t="s">
        <v>141</v>
      </c>
      <c r="D163" s="8" t="s">
        <v>142</v>
      </c>
      <c r="E163" s="8" t="s">
        <v>114</v>
      </c>
      <c r="F163" s="8" t="s">
        <v>115</v>
      </c>
      <c r="G163" s="8" t="s">
        <v>33</v>
      </c>
      <c r="H163" s="8">
        <v>4</v>
      </c>
      <c r="I163" s="8">
        <v>79.989999999999995</v>
      </c>
      <c r="J163" s="8" t="s">
        <v>57</v>
      </c>
      <c r="K163" s="8" t="s">
        <v>63</v>
      </c>
      <c r="L163" s="8" t="s">
        <v>36</v>
      </c>
      <c r="M163" s="7">
        <v>44921</v>
      </c>
      <c r="N163" s="9">
        <v>319.95999999999998</v>
      </c>
    </row>
    <row r="164" spans="1:14" ht="15.75" customHeight="1" x14ac:dyDescent="0.3">
      <c r="A164" s="6" t="s">
        <v>307</v>
      </c>
      <c r="B164" s="15">
        <v>45555</v>
      </c>
      <c r="C164" s="8" t="s">
        <v>120</v>
      </c>
      <c r="D164" s="8" t="s">
        <v>121</v>
      </c>
      <c r="E164" s="8" t="s">
        <v>114</v>
      </c>
      <c r="F164" s="8" t="s">
        <v>115</v>
      </c>
      <c r="G164" s="8" t="s">
        <v>33</v>
      </c>
      <c r="H164" s="8">
        <v>3</v>
      </c>
      <c r="I164" s="8">
        <v>79.989999999999995</v>
      </c>
      <c r="J164" s="8" t="s">
        <v>57</v>
      </c>
      <c r="K164" s="8" t="s">
        <v>63</v>
      </c>
      <c r="L164" s="8" t="s">
        <v>36</v>
      </c>
      <c r="M164" s="7">
        <v>44779</v>
      </c>
      <c r="N164" s="9">
        <v>239.97</v>
      </c>
    </row>
    <row r="165" spans="1:14" ht="15.75" customHeight="1" x14ac:dyDescent="0.3">
      <c r="A165" s="6" t="s">
        <v>308</v>
      </c>
      <c r="B165" s="15">
        <v>45556</v>
      </c>
      <c r="C165" s="8" t="s">
        <v>72</v>
      </c>
      <c r="D165" s="8" t="s">
        <v>73</v>
      </c>
      <c r="E165" s="8" t="s">
        <v>61</v>
      </c>
      <c r="F165" s="8" t="s">
        <v>62</v>
      </c>
      <c r="G165" s="8" t="s">
        <v>19</v>
      </c>
      <c r="H165" s="8">
        <v>2</v>
      </c>
      <c r="I165" s="8">
        <v>899.99</v>
      </c>
      <c r="J165" s="8" t="s">
        <v>20</v>
      </c>
      <c r="K165" s="8" t="s">
        <v>40</v>
      </c>
      <c r="L165" s="8" t="s">
        <v>22</v>
      </c>
      <c r="M165" s="7">
        <v>44406</v>
      </c>
      <c r="N165" s="9">
        <v>1799.98</v>
      </c>
    </row>
    <row r="166" spans="1:14" ht="15.75" customHeight="1" x14ac:dyDescent="0.3">
      <c r="A166" s="6" t="s">
        <v>309</v>
      </c>
      <c r="B166" s="15">
        <v>45557</v>
      </c>
      <c r="C166" s="8" t="s">
        <v>182</v>
      </c>
      <c r="D166" s="8" t="s">
        <v>183</v>
      </c>
      <c r="E166" s="8" t="s">
        <v>44</v>
      </c>
      <c r="F166" s="8" t="s">
        <v>45</v>
      </c>
      <c r="G166" s="8" t="s">
        <v>46</v>
      </c>
      <c r="H166" s="8">
        <v>1</v>
      </c>
      <c r="I166" s="8">
        <v>149.99</v>
      </c>
      <c r="J166" s="8" t="s">
        <v>57</v>
      </c>
      <c r="K166" s="8" t="s">
        <v>63</v>
      </c>
      <c r="L166" s="8" t="s">
        <v>36</v>
      </c>
      <c r="M166" s="7">
        <v>45200</v>
      </c>
      <c r="N166" s="9">
        <v>149.99</v>
      </c>
    </row>
    <row r="167" spans="1:14" ht="15.75" customHeight="1" x14ac:dyDescent="0.3">
      <c r="A167" s="6" t="s">
        <v>310</v>
      </c>
      <c r="B167" s="15">
        <v>45558</v>
      </c>
      <c r="C167" s="8" t="s">
        <v>138</v>
      </c>
      <c r="D167" s="8" t="s">
        <v>139</v>
      </c>
      <c r="E167" s="8" t="s">
        <v>105</v>
      </c>
      <c r="F167" s="8" t="s">
        <v>106</v>
      </c>
      <c r="G167" s="8" t="s">
        <v>46</v>
      </c>
      <c r="H167" s="8">
        <v>2</v>
      </c>
      <c r="I167" s="8">
        <v>299.99</v>
      </c>
      <c r="J167" s="8" t="s">
        <v>20</v>
      </c>
      <c r="K167" s="8" t="s">
        <v>63</v>
      </c>
      <c r="L167" s="8" t="s">
        <v>27</v>
      </c>
      <c r="M167" s="7">
        <v>44724</v>
      </c>
      <c r="N167" s="9">
        <v>599.98</v>
      </c>
    </row>
    <row r="168" spans="1:14" ht="15.75" customHeight="1" x14ac:dyDescent="0.3">
      <c r="A168" s="6" t="s">
        <v>311</v>
      </c>
      <c r="B168" s="15">
        <v>45559</v>
      </c>
      <c r="C168" s="8" t="s">
        <v>132</v>
      </c>
      <c r="D168" s="8" t="s">
        <v>133</v>
      </c>
      <c r="E168" s="8" t="s">
        <v>31</v>
      </c>
      <c r="F168" s="8" t="s">
        <v>32</v>
      </c>
      <c r="G168" s="8" t="s">
        <v>33</v>
      </c>
      <c r="H168" s="8">
        <v>2</v>
      </c>
      <c r="I168" s="8">
        <v>59.99</v>
      </c>
      <c r="J168" s="8" t="s">
        <v>20</v>
      </c>
      <c r="K168" s="8" t="s">
        <v>50</v>
      </c>
      <c r="L168" s="8" t="s">
        <v>22</v>
      </c>
      <c r="M168" s="7">
        <v>45191</v>
      </c>
      <c r="N168" s="9">
        <v>119.98</v>
      </c>
    </row>
    <row r="169" spans="1:14" ht="15.75" customHeight="1" x14ac:dyDescent="0.3">
      <c r="A169" s="6" t="s">
        <v>312</v>
      </c>
      <c r="B169" s="15">
        <v>45560</v>
      </c>
      <c r="C169" s="8" t="s">
        <v>182</v>
      </c>
      <c r="D169" s="8" t="s">
        <v>183</v>
      </c>
      <c r="E169" s="8" t="s">
        <v>117</v>
      </c>
      <c r="F169" s="8" t="s">
        <v>118</v>
      </c>
      <c r="G169" s="8" t="s">
        <v>19</v>
      </c>
      <c r="H169" s="8">
        <v>1</v>
      </c>
      <c r="I169" s="8">
        <v>89.99</v>
      </c>
      <c r="J169" s="8" t="s">
        <v>57</v>
      </c>
      <c r="K169" s="8" t="s">
        <v>21</v>
      </c>
      <c r="L169" s="8" t="s">
        <v>36</v>
      </c>
      <c r="M169" s="7">
        <v>44760</v>
      </c>
      <c r="N169" s="9">
        <v>89.99</v>
      </c>
    </row>
    <row r="170" spans="1:14" ht="15.75" customHeight="1" x14ac:dyDescent="0.3">
      <c r="A170" s="6" t="s">
        <v>313</v>
      </c>
      <c r="B170" s="15">
        <v>45561</v>
      </c>
      <c r="C170" s="8" t="s">
        <v>147</v>
      </c>
      <c r="D170" s="8" t="s">
        <v>148</v>
      </c>
      <c r="E170" s="8" t="s">
        <v>61</v>
      </c>
      <c r="F170" s="8" t="s">
        <v>62</v>
      </c>
      <c r="G170" s="8" t="s">
        <v>19</v>
      </c>
      <c r="H170" s="8">
        <v>5</v>
      </c>
      <c r="I170" s="8">
        <v>899.99</v>
      </c>
      <c r="J170" s="8" t="s">
        <v>57</v>
      </c>
      <c r="K170" s="8" t="s">
        <v>63</v>
      </c>
      <c r="L170" s="8" t="s">
        <v>36</v>
      </c>
      <c r="M170" s="7">
        <v>44625</v>
      </c>
      <c r="N170" s="9">
        <v>4499.95</v>
      </c>
    </row>
    <row r="171" spans="1:14" ht="15.75" customHeight="1" x14ac:dyDescent="0.3">
      <c r="A171" s="6" t="s">
        <v>314</v>
      </c>
      <c r="B171" s="15">
        <v>45562</v>
      </c>
      <c r="C171" s="8" t="s">
        <v>42</v>
      </c>
      <c r="D171" s="8" t="s">
        <v>43</v>
      </c>
      <c r="E171" s="8" t="s">
        <v>44</v>
      </c>
      <c r="F171" s="8" t="s">
        <v>45</v>
      </c>
      <c r="G171" s="8" t="s">
        <v>46</v>
      </c>
      <c r="H171" s="8">
        <v>2</v>
      </c>
      <c r="I171" s="8">
        <v>149.99</v>
      </c>
      <c r="J171" s="8" t="s">
        <v>20</v>
      </c>
      <c r="K171" s="8" t="s">
        <v>35</v>
      </c>
      <c r="L171" s="8" t="s">
        <v>22</v>
      </c>
      <c r="M171" s="7">
        <v>45239</v>
      </c>
      <c r="N171" s="9">
        <v>299.98</v>
      </c>
    </row>
    <row r="172" spans="1:14" ht="15.75" customHeight="1" x14ac:dyDescent="0.3">
      <c r="A172" s="6" t="s">
        <v>315</v>
      </c>
      <c r="B172" s="15">
        <v>45563</v>
      </c>
      <c r="C172" s="8" t="s">
        <v>112</v>
      </c>
      <c r="D172" s="8" t="s">
        <v>113</v>
      </c>
      <c r="E172" s="8" t="s">
        <v>52</v>
      </c>
      <c r="F172" s="8" t="s">
        <v>53</v>
      </c>
      <c r="G172" s="8" t="s">
        <v>19</v>
      </c>
      <c r="H172" s="8">
        <v>2</v>
      </c>
      <c r="I172" s="8">
        <v>149.99</v>
      </c>
      <c r="J172" s="8" t="s">
        <v>57</v>
      </c>
      <c r="K172" s="8" t="s">
        <v>50</v>
      </c>
      <c r="L172" s="8" t="s">
        <v>27</v>
      </c>
      <c r="M172" s="7">
        <v>45280</v>
      </c>
      <c r="N172" s="9">
        <v>299.98</v>
      </c>
    </row>
    <row r="173" spans="1:14" ht="15.75" customHeight="1" x14ac:dyDescent="0.3">
      <c r="A173" s="6" t="s">
        <v>316</v>
      </c>
      <c r="B173" s="15">
        <v>45564</v>
      </c>
      <c r="C173" s="8" t="s">
        <v>182</v>
      </c>
      <c r="D173" s="8" t="s">
        <v>183</v>
      </c>
      <c r="E173" s="8" t="s">
        <v>44</v>
      </c>
      <c r="F173" s="8" t="s">
        <v>45</v>
      </c>
      <c r="G173" s="8" t="s">
        <v>46</v>
      </c>
      <c r="H173" s="8">
        <v>3</v>
      </c>
      <c r="I173" s="8">
        <v>149.99</v>
      </c>
      <c r="J173" s="8" t="s">
        <v>57</v>
      </c>
      <c r="K173" s="8" t="s">
        <v>40</v>
      </c>
      <c r="L173" s="8" t="s">
        <v>36</v>
      </c>
      <c r="M173" s="7">
        <v>44522</v>
      </c>
      <c r="N173" s="9">
        <v>449.97</v>
      </c>
    </row>
    <row r="174" spans="1:14" ht="15.75" customHeight="1" x14ac:dyDescent="0.3">
      <c r="A174" s="6" t="s">
        <v>317</v>
      </c>
      <c r="B174" s="15">
        <v>45565</v>
      </c>
      <c r="C174" s="8" t="s">
        <v>29</v>
      </c>
      <c r="D174" s="8" t="s">
        <v>30</v>
      </c>
      <c r="E174" s="8" t="s">
        <v>105</v>
      </c>
      <c r="F174" s="8" t="s">
        <v>106</v>
      </c>
      <c r="G174" s="8" t="s">
        <v>46</v>
      </c>
      <c r="H174" s="8">
        <v>2</v>
      </c>
      <c r="I174" s="8">
        <v>299.99</v>
      </c>
      <c r="J174" s="8" t="s">
        <v>34</v>
      </c>
      <c r="K174" s="8" t="s">
        <v>35</v>
      </c>
      <c r="L174" s="8" t="s">
        <v>22</v>
      </c>
      <c r="M174" s="7">
        <v>44721</v>
      </c>
      <c r="N174" s="9">
        <v>599.98</v>
      </c>
    </row>
    <row r="175" spans="1:14" ht="15.75" customHeight="1" x14ac:dyDescent="0.3">
      <c r="A175" s="6" t="s">
        <v>318</v>
      </c>
      <c r="B175" s="15">
        <v>45566</v>
      </c>
      <c r="C175" s="8" t="s">
        <v>42</v>
      </c>
      <c r="D175" s="8" t="s">
        <v>43</v>
      </c>
      <c r="E175" s="8" t="s">
        <v>105</v>
      </c>
      <c r="F175" s="8" t="s">
        <v>106</v>
      </c>
      <c r="G175" s="8" t="s">
        <v>46</v>
      </c>
      <c r="H175" s="8">
        <v>2</v>
      </c>
      <c r="I175" s="8">
        <v>299.99</v>
      </c>
      <c r="J175" s="8" t="s">
        <v>20</v>
      </c>
      <c r="K175" s="8" t="s">
        <v>50</v>
      </c>
      <c r="L175" s="8" t="s">
        <v>22</v>
      </c>
      <c r="M175" s="7">
        <v>44771</v>
      </c>
      <c r="N175" s="9">
        <v>599.98</v>
      </c>
    </row>
    <row r="176" spans="1:14" ht="15.75" customHeight="1" x14ac:dyDescent="0.3">
      <c r="A176" s="6" t="s">
        <v>319</v>
      </c>
      <c r="B176" s="15">
        <v>45567</v>
      </c>
      <c r="C176" s="8" t="s">
        <v>120</v>
      </c>
      <c r="D176" s="8" t="s">
        <v>121</v>
      </c>
      <c r="E176" s="8" t="s">
        <v>126</v>
      </c>
      <c r="F176" s="8" t="s">
        <v>127</v>
      </c>
      <c r="G176" s="8" t="s">
        <v>46</v>
      </c>
      <c r="H176" s="8">
        <v>4</v>
      </c>
      <c r="I176" s="8">
        <v>199.99</v>
      </c>
      <c r="J176" s="8" t="s">
        <v>26</v>
      </c>
      <c r="K176" s="8" t="s">
        <v>21</v>
      </c>
      <c r="L176" s="8" t="s">
        <v>22</v>
      </c>
      <c r="M176" s="7">
        <v>44523</v>
      </c>
      <c r="N176" s="9">
        <v>799.96</v>
      </c>
    </row>
    <row r="177" spans="1:14" ht="15.75" customHeight="1" x14ac:dyDescent="0.3">
      <c r="A177" s="6" t="s">
        <v>320</v>
      </c>
      <c r="B177" s="15">
        <v>45568</v>
      </c>
      <c r="C177" s="8" t="s">
        <v>59</v>
      </c>
      <c r="D177" s="8" t="s">
        <v>60</v>
      </c>
      <c r="E177" s="8" t="s">
        <v>117</v>
      </c>
      <c r="F177" s="8" t="s">
        <v>118</v>
      </c>
      <c r="G177" s="8" t="s">
        <v>19</v>
      </c>
      <c r="H177" s="8">
        <v>1</v>
      </c>
      <c r="I177" s="8">
        <v>89.99</v>
      </c>
      <c r="J177" s="8" t="s">
        <v>26</v>
      </c>
      <c r="K177" s="8" t="s">
        <v>35</v>
      </c>
      <c r="L177" s="8" t="s">
        <v>27</v>
      </c>
      <c r="M177" s="7">
        <v>44591</v>
      </c>
      <c r="N177" s="9">
        <v>89.99</v>
      </c>
    </row>
    <row r="178" spans="1:14" ht="15.75" customHeight="1" x14ac:dyDescent="0.3">
      <c r="A178" s="6" t="s">
        <v>321</v>
      </c>
      <c r="B178" s="15">
        <v>45569</v>
      </c>
      <c r="C178" s="8" t="s">
        <v>108</v>
      </c>
      <c r="D178" s="8" t="s">
        <v>109</v>
      </c>
      <c r="E178" s="8" t="s">
        <v>44</v>
      </c>
      <c r="F178" s="8" t="s">
        <v>45</v>
      </c>
      <c r="G178" s="8" t="s">
        <v>46</v>
      </c>
      <c r="H178" s="8">
        <v>5</v>
      </c>
      <c r="I178" s="8">
        <v>149.99</v>
      </c>
      <c r="J178" s="8" t="s">
        <v>20</v>
      </c>
      <c r="K178" s="8" t="s">
        <v>21</v>
      </c>
      <c r="L178" s="8" t="s">
        <v>27</v>
      </c>
      <c r="M178" s="7">
        <v>45347</v>
      </c>
      <c r="N178" s="9">
        <v>749.95</v>
      </c>
    </row>
    <row r="179" spans="1:14" ht="15.75" customHeight="1" x14ac:dyDescent="0.3">
      <c r="A179" s="6" t="s">
        <v>322</v>
      </c>
      <c r="B179" s="15">
        <v>45570</v>
      </c>
      <c r="C179" s="8" t="s">
        <v>86</v>
      </c>
      <c r="D179" s="8" t="s">
        <v>87</v>
      </c>
      <c r="E179" s="8" t="s">
        <v>61</v>
      </c>
      <c r="F179" s="8" t="s">
        <v>62</v>
      </c>
      <c r="G179" s="8" t="s">
        <v>19</v>
      </c>
      <c r="H179" s="8">
        <v>1</v>
      </c>
      <c r="I179" s="8">
        <v>899.99</v>
      </c>
      <c r="J179" s="8" t="s">
        <v>34</v>
      </c>
      <c r="K179" s="8" t="s">
        <v>40</v>
      </c>
      <c r="L179" s="8" t="s">
        <v>27</v>
      </c>
      <c r="M179" s="7">
        <v>45050</v>
      </c>
      <c r="N179" s="9">
        <v>899.99</v>
      </c>
    </row>
    <row r="180" spans="1:14" ht="15.75" customHeight="1" x14ac:dyDescent="0.3">
      <c r="A180" s="6" t="s">
        <v>323</v>
      </c>
      <c r="B180" s="15">
        <v>45571</v>
      </c>
      <c r="C180" s="8" t="s">
        <v>147</v>
      </c>
      <c r="D180" s="8" t="s">
        <v>148</v>
      </c>
      <c r="E180" s="8" t="s">
        <v>117</v>
      </c>
      <c r="F180" s="8" t="s">
        <v>118</v>
      </c>
      <c r="G180" s="8" t="s">
        <v>19</v>
      </c>
      <c r="H180" s="8">
        <v>2</v>
      </c>
      <c r="I180" s="8">
        <v>89.99</v>
      </c>
      <c r="J180" s="8" t="s">
        <v>26</v>
      </c>
      <c r="K180" s="8" t="s">
        <v>35</v>
      </c>
      <c r="L180" s="8" t="s">
        <v>27</v>
      </c>
      <c r="M180" s="7">
        <v>44564</v>
      </c>
      <c r="N180" s="9">
        <v>179.98</v>
      </c>
    </row>
    <row r="181" spans="1:14" ht="15.75" customHeight="1" x14ac:dyDescent="0.3">
      <c r="A181" s="6" t="s">
        <v>324</v>
      </c>
      <c r="B181" s="15">
        <v>45572</v>
      </c>
      <c r="C181" s="8" t="s">
        <v>325</v>
      </c>
      <c r="D181" s="8" t="s">
        <v>326</v>
      </c>
      <c r="E181" s="8" t="s">
        <v>61</v>
      </c>
      <c r="F181" s="8" t="s">
        <v>62</v>
      </c>
      <c r="G181" s="8" t="s">
        <v>19</v>
      </c>
      <c r="H181" s="8">
        <v>1</v>
      </c>
      <c r="I181" s="8">
        <v>899.99</v>
      </c>
      <c r="J181" s="8" t="s">
        <v>34</v>
      </c>
      <c r="K181" s="8" t="s">
        <v>40</v>
      </c>
      <c r="L181" s="8" t="s">
        <v>36</v>
      </c>
      <c r="M181" s="7">
        <v>44752</v>
      </c>
      <c r="N181" s="9">
        <v>899.99</v>
      </c>
    </row>
    <row r="182" spans="1:14" ht="15.75" customHeight="1" x14ac:dyDescent="0.3">
      <c r="A182" s="6" t="s">
        <v>327</v>
      </c>
      <c r="B182" s="15">
        <v>45573</v>
      </c>
      <c r="C182" s="8" t="s">
        <v>129</v>
      </c>
      <c r="D182" s="8" t="s">
        <v>130</v>
      </c>
      <c r="E182" s="8" t="s">
        <v>52</v>
      </c>
      <c r="F182" s="8" t="s">
        <v>53</v>
      </c>
      <c r="G182" s="8" t="s">
        <v>19</v>
      </c>
      <c r="H182" s="8">
        <v>5</v>
      </c>
      <c r="I182" s="8">
        <v>149.99</v>
      </c>
      <c r="J182" s="8" t="s">
        <v>34</v>
      </c>
      <c r="K182" s="8" t="s">
        <v>63</v>
      </c>
      <c r="L182" s="8" t="s">
        <v>27</v>
      </c>
      <c r="M182" s="7">
        <v>44824</v>
      </c>
      <c r="N182" s="9">
        <v>749.95</v>
      </c>
    </row>
    <row r="183" spans="1:14" ht="15.75" customHeight="1" x14ac:dyDescent="0.3">
      <c r="A183" s="6" t="s">
        <v>328</v>
      </c>
      <c r="B183" s="15">
        <v>45574</v>
      </c>
      <c r="C183" s="8" t="s">
        <v>42</v>
      </c>
      <c r="D183" s="8" t="s">
        <v>43</v>
      </c>
      <c r="E183" s="8" t="s">
        <v>105</v>
      </c>
      <c r="F183" s="8" t="s">
        <v>106</v>
      </c>
      <c r="G183" s="8" t="s">
        <v>46</v>
      </c>
      <c r="H183" s="8">
        <v>3</v>
      </c>
      <c r="I183" s="8">
        <v>299.99</v>
      </c>
      <c r="J183" s="8" t="s">
        <v>20</v>
      </c>
      <c r="K183" s="8" t="s">
        <v>35</v>
      </c>
      <c r="L183" s="8" t="s">
        <v>36</v>
      </c>
      <c r="M183" s="7">
        <v>44422</v>
      </c>
      <c r="N183" s="9">
        <v>899.97</v>
      </c>
    </row>
    <row r="184" spans="1:14" ht="15.75" customHeight="1" x14ac:dyDescent="0.3">
      <c r="A184" s="6" t="s">
        <v>329</v>
      </c>
      <c r="B184" s="15">
        <v>45575</v>
      </c>
      <c r="C184" s="8" t="s">
        <v>65</v>
      </c>
      <c r="D184" s="8" t="s">
        <v>66</v>
      </c>
      <c r="E184" s="8" t="s">
        <v>80</v>
      </c>
      <c r="F184" s="8" t="s">
        <v>81</v>
      </c>
      <c r="G184" s="8" t="s">
        <v>19</v>
      </c>
      <c r="H184" s="8">
        <v>3</v>
      </c>
      <c r="I184" s="8">
        <v>699.99</v>
      </c>
      <c r="J184" s="8" t="s">
        <v>26</v>
      </c>
      <c r="K184" s="8" t="s">
        <v>21</v>
      </c>
      <c r="L184" s="8" t="s">
        <v>27</v>
      </c>
      <c r="M184" s="7">
        <v>45105</v>
      </c>
      <c r="N184" s="9">
        <v>2099.9699999999998</v>
      </c>
    </row>
    <row r="185" spans="1:14" ht="15.75" customHeight="1" x14ac:dyDescent="0.3">
      <c r="A185" s="6" t="s">
        <v>330</v>
      </c>
      <c r="B185" s="15">
        <v>45576</v>
      </c>
      <c r="C185" s="8" t="s">
        <v>108</v>
      </c>
      <c r="D185" s="8" t="s">
        <v>109</v>
      </c>
      <c r="E185" s="8" t="s">
        <v>126</v>
      </c>
      <c r="F185" s="8" t="s">
        <v>127</v>
      </c>
      <c r="G185" s="8" t="s">
        <v>46</v>
      </c>
      <c r="H185" s="8">
        <v>5</v>
      </c>
      <c r="I185" s="8">
        <v>199.99</v>
      </c>
      <c r="J185" s="8" t="s">
        <v>34</v>
      </c>
      <c r="K185" s="8" t="s">
        <v>21</v>
      </c>
      <c r="L185" s="8" t="s">
        <v>36</v>
      </c>
      <c r="M185" s="7">
        <v>44633</v>
      </c>
      <c r="N185" s="9">
        <v>999.95</v>
      </c>
    </row>
    <row r="186" spans="1:14" ht="15.75" customHeight="1" x14ac:dyDescent="0.3">
      <c r="A186" s="6" t="s">
        <v>331</v>
      </c>
      <c r="B186" s="15">
        <v>45577</v>
      </c>
      <c r="C186" s="8" t="s">
        <v>93</v>
      </c>
      <c r="D186" s="8" t="s">
        <v>94</v>
      </c>
      <c r="E186" s="8" t="s">
        <v>17</v>
      </c>
      <c r="F186" s="8" t="s">
        <v>18</v>
      </c>
      <c r="G186" s="8" t="s">
        <v>19</v>
      </c>
      <c r="H186" s="8">
        <v>5</v>
      </c>
      <c r="I186" s="8">
        <v>249.99</v>
      </c>
      <c r="J186" s="8" t="s">
        <v>26</v>
      </c>
      <c r="K186" s="8" t="s">
        <v>35</v>
      </c>
      <c r="L186" s="8" t="s">
        <v>22</v>
      </c>
      <c r="M186" s="7">
        <v>45330</v>
      </c>
      <c r="N186" s="9">
        <v>1249.95</v>
      </c>
    </row>
    <row r="187" spans="1:14" ht="15.75" customHeight="1" x14ac:dyDescent="0.3">
      <c r="A187" s="6" t="s">
        <v>332</v>
      </c>
      <c r="B187" s="15">
        <v>45578</v>
      </c>
      <c r="C187" s="8" t="s">
        <v>138</v>
      </c>
      <c r="D187" s="8" t="s">
        <v>139</v>
      </c>
      <c r="E187" s="8" t="s">
        <v>52</v>
      </c>
      <c r="F187" s="8" t="s">
        <v>53</v>
      </c>
      <c r="G187" s="8" t="s">
        <v>19</v>
      </c>
      <c r="H187" s="8">
        <v>4</v>
      </c>
      <c r="I187" s="8">
        <v>149.99</v>
      </c>
      <c r="J187" s="8" t="s">
        <v>57</v>
      </c>
      <c r="K187" s="8" t="s">
        <v>63</v>
      </c>
      <c r="L187" s="8" t="s">
        <v>36</v>
      </c>
      <c r="M187" s="7">
        <v>44536</v>
      </c>
      <c r="N187" s="9">
        <v>599.96</v>
      </c>
    </row>
    <row r="188" spans="1:14" ht="15.75" customHeight="1" x14ac:dyDescent="0.3">
      <c r="A188" s="6" t="s">
        <v>333</v>
      </c>
      <c r="B188" s="15">
        <v>45579</v>
      </c>
      <c r="C188" s="8" t="s">
        <v>78</v>
      </c>
      <c r="D188" s="8" t="s">
        <v>79</v>
      </c>
      <c r="E188" s="8" t="s">
        <v>80</v>
      </c>
      <c r="F188" s="8" t="s">
        <v>81</v>
      </c>
      <c r="G188" s="8" t="s">
        <v>19</v>
      </c>
      <c r="H188" s="8">
        <v>3</v>
      </c>
      <c r="I188" s="8">
        <v>699.99</v>
      </c>
      <c r="J188" s="8" t="s">
        <v>20</v>
      </c>
      <c r="K188" s="8" t="s">
        <v>40</v>
      </c>
      <c r="L188" s="8" t="s">
        <v>27</v>
      </c>
      <c r="M188" s="7">
        <v>44602</v>
      </c>
      <c r="N188" s="9">
        <v>2099.9699999999998</v>
      </c>
    </row>
    <row r="189" spans="1:14" ht="15.75" customHeight="1" x14ac:dyDescent="0.3">
      <c r="A189" s="6" t="s">
        <v>334</v>
      </c>
      <c r="B189" s="15">
        <v>45580</v>
      </c>
      <c r="C189" s="8" t="s">
        <v>293</v>
      </c>
      <c r="D189" s="8" t="s">
        <v>294</v>
      </c>
      <c r="E189" s="8" t="s">
        <v>114</v>
      </c>
      <c r="F189" s="8" t="s">
        <v>115</v>
      </c>
      <c r="G189" s="8" t="s">
        <v>33</v>
      </c>
      <c r="H189" s="8">
        <v>1</v>
      </c>
      <c r="I189" s="8">
        <v>79.989999999999995</v>
      </c>
      <c r="J189" s="8" t="s">
        <v>26</v>
      </c>
      <c r="K189" s="8" t="s">
        <v>35</v>
      </c>
      <c r="L189" s="8" t="s">
        <v>22</v>
      </c>
      <c r="M189" s="7">
        <v>45322</v>
      </c>
      <c r="N189" s="9">
        <v>79.989999999999995</v>
      </c>
    </row>
    <row r="190" spans="1:14" ht="15.75" customHeight="1" x14ac:dyDescent="0.3">
      <c r="A190" s="6" t="s">
        <v>335</v>
      </c>
      <c r="B190" s="15">
        <v>45581</v>
      </c>
      <c r="C190" s="8" t="s">
        <v>86</v>
      </c>
      <c r="D190" s="8" t="s">
        <v>87</v>
      </c>
      <c r="E190" s="8" t="s">
        <v>105</v>
      </c>
      <c r="F190" s="8" t="s">
        <v>106</v>
      </c>
      <c r="G190" s="8" t="s">
        <v>46</v>
      </c>
      <c r="H190" s="8">
        <v>1</v>
      </c>
      <c r="I190" s="8">
        <v>299.99</v>
      </c>
      <c r="J190" s="8" t="s">
        <v>26</v>
      </c>
      <c r="K190" s="8" t="s">
        <v>40</v>
      </c>
      <c r="L190" s="8" t="s">
        <v>22</v>
      </c>
      <c r="M190" s="7">
        <v>44436</v>
      </c>
      <c r="N190" s="9">
        <v>299.99</v>
      </c>
    </row>
    <row r="191" spans="1:14" ht="15.75" customHeight="1" x14ac:dyDescent="0.3">
      <c r="A191" s="6" t="s">
        <v>336</v>
      </c>
      <c r="B191" s="15">
        <v>45582</v>
      </c>
      <c r="C191" s="8" t="s">
        <v>158</v>
      </c>
      <c r="D191" s="8" t="s">
        <v>159</v>
      </c>
      <c r="E191" s="8" t="s">
        <v>17</v>
      </c>
      <c r="F191" s="8" t="s">
        <v>18</v>
      </c>
      <c r="G191" s="8" t="s">
        <v>19</v>
      </c>
      <c r="H191" s="8">
        <v>4</v>
      </c>
      <c r="I191" s="8">
        <v>249.99</v>
      </c>
      <c r="J191" s="8" t="s">
        <v>26</v>
      </c>
      <c r="K191" s="8" t="s">
        <v>40</v>
      </c>
      <c r="L191" s="8" t="s">
        <v>27</v>
      </c>
      <c r="M191" s="7">
        <v>44460</v>
      </c>
      <c r="N191" s="9">
        <v>999.96</v>
      </c>
    </row>
    <row r="192" spans="1:14" ht="15.75" customHeight="1" x14ac:dyDescent="0.3">
      <c r="A192" s="6" t="s">
        <v>337</v>
      </c>
      <c r="B192" s="15">
        <v>45583</v>
      </c>
      <c r="C192" s="8" t="s">
        <v>120</v>
      </c>
      <c r="D192" s="8" t="s">
        <v>121</v>
      </c>
      <c r="E192" s="8" t="s">
        <v>52</v>
      </c>
      <c r="F192" s="8" t="s">
        <v>53</v>
      </c>
      <c r="G192" s="8" t="s">
        <v>19</v>
      </c>
      <c r="H192" s="8">
        <v>2</v>
      </c>
      <c r="I192" s="8">
        <v>149.99</v>
      </c>
      <c r="J192" s="8" t="s">
        <v>20</v>
      </c>
      <c r="K192" s="8" t="s">
        <v>40</v>
      </c>
      <c r="L192" s="8" t="s">
        <v>36</v>
      </c>
      <c r="M192" s="7">
        <v>44913</v>
      </c>
      <c r="N192" s="9">
        <v>299.98</v>
      </c>
    </row>
    <row r="193" spans="1:14" ht="15.75" customHeight="1" x14ac:dyDescent="0.3">
      <c r="A193" s="6" t="s">
        <v>338</v>
      </c>
      <c r="B193" s="15">
        <v>45584</v>
      </c>
      <c r="C193" s="8" t="s">
        <v>234</v>
      </c>
      <c r="D193" s="8" t="s">
        <v>235</v>
      </c>
      <c r="E193" s="8" t="s">
        <v>105</v>
      </c>
      <c r="F193" s="8" t="s">
        <v>106</v>
      </c>
      <c r="G193" s="8" t="s">
        <v>46</v>
      </c>
      <c r="H193" s="8">
        <v>3</v>
      </c>
      <c r="I193" s="8">
        <v>299.99</v>
      </c>
      <c r="J193" s="8" t="s">
        <v>26</v>
      </c>
      <c r="K193" s="8" t="s">
        <v>35</v>
      </c>
      <c r="L193" s="8" t="s">
        <v>22</v>
      </c>
      <c r="M193" s="7">
        <v>45204</v>
      </c>
      <c r="N193" s="9">
        <v>899.97</v>
      </c>
    </row>
    <row r="194" spans="1:14" ht="15.75" customHeight="1" x14ac:dyDescent="0.3">
      <c r="A194" s="6" t="s">
        <v>339</v>
      </c>
      <c r="B194" s="15">
        <v>45585</v>
      </c>
      <c r="C194" s="8" t="s">
        <v>226</v>
      </c>
      <c r="D194" s="8" t="s">
        <v>227</v>
      </c>
      <c r="E194" s="8" t="s">
        <v>126</v>
      </c>
      <c r="F194" s="8" t="s">
        <v>127</v>
      </c>
      <c r="G194" s="8" t="s">
        <v>46</v>
      </c>
      <c r="H194" s="8">
        <v>4</v>
      </c>
      <c r="I194" s="8">
        <v>199.99</v>
      </c>
      <c r="J194" s="8" t="s">
        <v>57</v>
      </c>
      <c r="K194" s="8" t="s">
        <v>35</v>
      </c>
      <c r="L194" s="8" t="s">
        <v>36</v>
      </c>
      <c r="M194" s="7">
        <v>44544</v>
      </c>
      <c r="N194" s="9">
        <v>799.96</v>
      </c>
    </row>
    <row r="195" spans="1:14" ht="15.75" customHeight="1" x14ac:dyDescent="0.3">
      <c r="A195" s="6" t="s">
        <v>340</v>
      </c>
      <c r="B195" s="15">
        <v>45586</v>
      </c>
      <c r="C195" s="8" t="s">
        <v>211</v>
      </c>
      <c r="D195" s="8" t="s">
        <v>212</v>
      </c>
      <c r="E195" s="8" t="s">
        <v>105</v>
      </c>
      <c r="F195" s="8" t="s">
        <v>106</v>
      </c>
      <c r="G195" s="8" t="s">
        <v>46</v>
      </c>
      <c r="H195" s="8">
        <v>5</v>
      </c>
      <c r="I195" s="8">
        <v>299.99</v>
      </c>
      <c r="J195" s="8" t="s">
        <v>57</v>
      </c>
      <c r="K195" s="8" t="s">
        <v>21</v>
      </c>
      <c r="L195" s="8" t="s">
        <v>22</v>
      </c>
      <c r="M195" s="7">
        <v>44431</v>
      </c>
      <c r="N195" s="9">
        <v>1499.95</v>
      </c>
    </row>
    <row r="196" spans="1:14" ht="15.75" customHeight="1" x14ac:dyDescent="0.3">
      <c r="A196" s="6" t="s">
        <v>341</v>
      </c>
      <c r="B196" s="15">
        <v>45587</v>
      </c>
      <c r="C196" s="8" t="s">
        <v>59</v>
      </c>
      <c r="D196" s="8" t="s">
        <v>60</v>
      </c>
      <c r="E196" s="8" t="s">
        <v>44</v>
      </c>
      <c r="F196" s="8" t="s">
        <v>45</v>
      </c>
      <c r="G196" s="8" t="s">
        <v>46</v>
      </c>
      <c r="H196" s="8">
        <v>3</v>
      </c>
      <c r="I196" s="8">
        <v>149.99</v>
      </c>
      <c r="J196" s="8" t="s">
        <v>26</v>
      </c>
      <c r="K196" s="8" t="s">
        <v>63</v>
      </c>
      <c r="L196" s="8" t="s">
        <v>36</v>
      </c>
      <c r="M196" s="7">
        <v>44395</v>
      </c>
      <c r="N196" s="9">
        <v>449.97</v>
      </c>
    </row>
    <row r="197" spans="1:14" ht="15.75" customHeight="1" x14ac:dyDescent="0.3">
      <c r="A197" s="6" t="s">
        <v>342</v>
      </c>
      <c r="B197" s="15">
        <v>45588</v>
      </c>
      <c r="C197" s="8" t="s">
        <v>129</v>
      </c>
      <c r="D197" s="8" t="s">
        <v>130</v>
      </c>
      <c r="E197" s="8" t="s">
        <v>31</v>
      </c>
      <c r="F197" s="8" t="s">
        <v>32</v>
      </c>
      <c r="G197" s="8" t="s">
        <v>33</v>
      </c>
      <c r="H197" s="8">
        <v>5</v>
      </c>
      <c r="I197" s="8">
        <v>59.99</v>
      </c>
      <c r="J197" s="8" t="s">
        <v>57</v>
      </c>
      <c r="K197" s="8" t="s">
        <v>63</v>
      </c>
      <c r="L197" s="8" t="s">
        <v>22</v>
      </c>
      <c r="M197" s="7">
        <v>44642</v>
      </c>
      <c r="N197" s="9">
        <v>299.95</v>
      </c>
    </row>
    <row r="198" spans="1:14" ht="15.75" customHeight="1" x14ac:dyDescent="0.3">
      <c r="A198" s="6" t="s">
        <v>343</v>
      </c>
      <c r="B198" s="15">
        <v>45589</v>
      </c>
      <c r="C198" s="8" t="s">
        <v>68</v>
      </c>
      <c r="D198" s="8" t="s">
        <v>69</v>
      </c>
      <c r="E198" s="8" t="s">
        <v>31</v>
      </c>
      <c r="F198" s="8" t="s">
        <v>32</v>
      </c>
      <c r="G198" s="8" t="s">
        <v>33</v>
      </c>
      <c r="H198" s="8">
        <v>4</v>
      </c>
      <c r="I198" s="8">
        <v>59.99</v>
      </c>
      <c r="J198" s="8" t="s">
        <v>57</v>
      </c>
      <c r="K198" s="8" t="s">
        <v>63</v>
      </c>
      <c r="L198" s="8" t="s">
        <v>36</v>
      </c>
      <c r="M198" s="7">
        <v>44564</v>
      </c>
      <c r="N198" s="9">
        <v>239.96</v>
      </c>
    </row>
    <row r="199" spans="1:14" ht="15.75" customHeight="1" x14ac:dyDescent="0.3">
      <c r="A199" s="6" t="s">
        <v>344</v>
      </c>
      <c r="B199" s="15">
        <v>45590</v>
      </c>
      <c r="C199" s="8" t="s">
        <v>48</v>
      </c>
      <c r="D199" s="8" t="s">
        <v>49</v>
      </c>
      <c r="E199" s="8" t="s">
        <v>17</v>
      </c>
      <c r="F199" s="8" t="s">
        <v>18</v>
      </c>
      <c r="G199" s="8" t="s">
        <v>19</v>
      </c>
      <c r="H199" s="8">
        <v>4</v>
      </c>
      <c r="I199" s="8">
        <v>249.99</v>
      </c>
      <c r="J199" s="8" t="s">
        <v>57</v>
      </c>
      <c r="K199" s="8" t="s">
        <v>21</v>
      </c>
      <c r="L199" s="8" t="s">
        <v>27</v>
      </c>
      <c r="M199" s="7">
        <v>45217</v>
      </c>
      <c r="N199" s="9">
        <v>999.96</v>
      </c>
    </row>
    <row r="200" spans="1:14" ht="15.75" customHeight="1" x14ac:dyDescent="0.3">
      <c r="A200" s="6" t="s">
        <v>345</v>
      </c>
      <c r="B200" s="15">
        <v>45591</v>
      </c>
      <c r="C200" s="8" t="s">
        <v>252</v>
      </c>
      <c r="D200" s="8" t="s">
        <v>253</v>
      </c>
      <c r="E200" s="8" t="s">
        <v>61</v>
      </c>
      <c r="F200" s="8" t="s">
        <v>62</v>
      </c>
      <c r="G200" s="8" t="s">
        <v>19</v>
      </c>
      <c r="H200" s="8">
        <v>4</v>
      </c>
      <c r="I200" s="8">
        <v>899.99</v>
      </c>
      <c r="J200" s="8" t="s">
        <v>34</v>
      </c>
      <c r="K200" s="8" t="s">
        <v>21</v>
      </c>
      <c r="L200" s="8" t="s">
        <v>22</v>
      </c>
      <c r="M200" s="7">
        <v>44734</v>
      </c>
      <c r="N200" s="9">
        <v>3599.96</v>
      </c>
    </row>
    <row r="201" spans="1:14" ht="15.75" customHeight="1" x14ac:dyDescent="0.3">
      <c r="A201" s="6" t="s">
        <v>346</v>
      </c>
      <c r="B201" s="15">
        <v>45592</v>
      </c>
      <c r="C201" s="8" t="s">
        <v>86</v>
      </c>
      <c r="D201" s="8" t="s">
        <v>87</v>
      </c>
      <c r="E201" s="8" t="s">
        <v>105</v>
      </c>
      <c r="F201" s="8" t="s">
        <v>106</v>
      </c>
      <c r="G201" s="8" t="s">
        <v>46</v>
      </c>
      <c r="H201" s="8">
        <v>3</v>
      </c>
      <c r="I201" s="8">
        <v>299.99</v>
      </c>
      <c r="J201" s="8" t="s">
        <v>57</v>
      </c>
      <c r="K201" s="8" t="s">
        <v>50</v>
      </c>
      <c r="L201" s="8" t="s">
        <v>36</v>
      </c>
      <c r="M201" s="7">
        <v>44952</v>
      </c>
      <c r="N201" s="9">
        <v>899.97</v>
      </c>
    </row>
    <row r="202" spans="1:14" ht="15.75" customHeight="1" x14ac:dyDescent="0.3">
      <c r="A202" s="6" t="s">
        <v>347</v>
      </c>
      <c r="B202" s="15">
        <v>45593</v>
      </c>
      <c r="C202" s="8" t="s">
        <v>293</v>
      </c>
      <c r="D202" s="8" t="s">
        <v>294</v>
      </c>
      <c r="E202" s="8" t="s">
        <v>80</v>
      </c>
      <c r="F202" s="8" t="s">
        <v>81</v>
      </c>
      <c r="G202" s="8" t="s">
        <v>19</v>
      </c>
      <c r="H202" s="8">
        <v>2</v>
      </c>
      <c r="I202" s="8">
        <v>699.99</v>
      </c>
      <c r="J202" s="8" t="s">
        <v>57</v>
      </c>
      <c r="K202" s="8" t="s">
        <v>21</v>
      </c>
      <c r="L202" s="8" t="s">
        <v>27</v>
      </c>
      <c r="M202" s="7">
        <v>44681</v>
      </c>
      <c r="N202" s="9">
        <v>1399.98</v>
      </c>
    </row>
    <row r="203" spans="1:14" ht="15.75" customHeight="1" x14ac:dyDescent="0.3">
      <c r="A203" s="6" t="s">
        <v>348</v>
      </c>
      <c r="B203" s="15">
        <v>45594</v>
      </c>
      <c r="C203" s="8" t="s">
        <v>65</v>
      </c>
      <c r="D203" s="8" t="s">
        <v>66</v>
      </c>
      <c r="E203" s="8" t="s">
        <v>80</v>
      </c>
      <c r="F203" s="8" t="s">
        <v>81</v>
      </c>
      <c r="G203" s="8" t="s">
        <v>19</v>
      </c>
      <c r="H203" s="8">
        <v>4</v>
      </c>
      <c r="I203" s="8">
        <v>699.99</v>
      </c>
      <c r="J203" s="8" t="s">
        <v>57</v>
      </c>
      <c r="K203" s="8" t="s">
        <v>50</v>
      </c>
      <c r="L203" s="8" t="s">
        <v>27</v>
      </c>
      <c r="M203" s="7">
        <v>44692</v>
      </c>
      <c r="N203" s="9">
        <v>2799.96</v>
      </c>
    </row>
    <row r="204" spans="1:14" ht="15.75" customHeight="1" x14ac:dyDescent="0.3">
      <c r="A204" s="6" t="s">
        <v>349</v>
      </c>
      <c r="B204" s="15">
        <v>45595</v>
      </c>
      <c r="C204" s="8" t="s">
        <v>123</v>
      </c>
      <c r="D204" s="8" t="s">
        <v>124</v>
      </c>
      <c r="E204" s="8" t="s">
        <v>117</v>
      </c>
      <c r="F204" s="8" t="s">
        <v>118</v>
      </c>
      <c r="G204" s="8" t="s">
        <v>19</v>
      </c>
      <c r="H204" s="8">
        <v>2</v>
      </c>
      <c r="I204" s="8">
        <v>89.99</v>
      </c>
      <c r="J204" s="8" t="s">
        <v>57</v>
      </c>
      <c r="K204" s="8" t="s">
        <v>35</v>
      </c>
      <c r="L204" s="8" t="s">
        <v>22</v>
      </c>
      <c r="M204" s="7">
        <v>44777</v>
      </c>
      <c r="N204" s="9">
        <v>179.98</v>
      </c>
    </row>
    <row r="205" spans="1:14" ht="15.75" customHeight="1" x14ac:dyDescent="0.3">
      <c r="A205" s="6" t="s">
        <v>350</v>
      </c>
      <c r="B205" s="15">
        <v>45596</v>
      </c>
      <c r="C205" s="8" t="s">
        <v>42</v>
      </c>
      <c r="D205" s="8" t="s">
        <v>43</v>
      </c>
      <c r="E205" s="8" t="s">
        <v>117</v>
      </c>
      <c r="F205" s="8" t="s">
        <v>118</v>
      </c>
      <c r="G205" s="8" t="s">
        <v>19</v>
      </c>
      <c r="H205" s="8">
        <v>3</v>
      </c>
      <c r="I205" s="8">
        <v>89.99</v>
      </c>
      <c r="J205" s="8" t="s">
        <v>57</v>
      </c>
      <c r="K205" s="8" t="s">
        <v>35</v>
      </c>
      <c r="L205" s="8" t="s">
        <v>27</v>
      </c>
      <c r="M205" s="7">
        <v>45307</v>
      </c>
      <c r="N205" s="9">
        <v>269.97000000000003</v>
      </c>
    </row>
    <row r="206" spans="1:14" ht="15.75" customHeight="1" x14ac:dyDescent="0.3">
      <c r="A206" s="6" t="s">
        <v>351</v>
      </c>
      <c r="B206" s="15">
        <v>45597</v>
      </c>
      <c r="C206" s="8" t="s">
        <v>325</v>
      </c>
      <c r="D206" s="8" t="s">
        <v>326</v>
      </c>
      <c r="E206" s="8" t="s">
        <v>31</v>
      </c>
      <c r="F206" s="8" t="s">
        <v>32</v>
      </c>
      <c r="G206" s="8" t="s">
        <v>33</v>
      </c>
      <c r="H206" s="8">
        <v>1</v>
      </c>
      <c r="I206" s="8">
        <v>59.99</v>
      </c>
      <c r="J206" s="8" t="s">
        <v>57</v>
      </c>
      <c r="K206" s="8" t="s">
        <v>21</v>
      </c>
      <c r="L206" s="8" t="s">
        <v>36</v>
      </c>
      <c r="M206" s="7">
        <v>45045</v>
      </c>
      <c r="N206" s="9">
        <v>59.99</v>
      </c>
    </row>
    <row r="207" spans="1:14" ht="15.75" customHeight="1" x14ac:dyDescent="0.3">
      <c r="A207" s="6" t="s">
        <v>352</v>
      </c>
      <c r="B207" s="15">
        <v>45598</v>
      </c>
      <c r="C207" s="8" t="s">
        <v>246</v>
      </c>
      <c r="D207" s="8" t="s">
        <v>247</v>
      </c>
      <c r="E207" s="8" t="s">
        <v>44</v>
      </c>
      <c r="F207" s="8" t="s">
        <v>45</v>
      </c>
      <c r="G207" s="8" t="s">
        <v>46</v>
      </c>
      <c r="H207" s="8">
        <v>3</v>
      </c>
      <c r="I207" s="8">
        <v>149.99</v>
      </c>
      <c r="J207" s="8" t="s">
        <v>57</v>
      </c>
      <c r="K207" s="8" t="s">
        <v>40</v>
      </c>
      <c r="L207" s="8" t="s">
        <v>27</v>
      </c>
      <c r="M207" s="7">
        <v>44564</v>
      </c>
      <c r="N207" s="9">
        <v>449.97</v>
      </c>
    </row>
    <row r="208" spans="1:14" ht="15.75" customHeight="1" x14ac:dyDescent="0.3">
      <c r="A208" s="6" t="s">
        <v>353</v>
      </c>
      <c r="B208" s="15">
        <v>45599</v>
      </c>
      <c r="C208" s="8" t="s">
        <v>93</v>
      </c>
      <c r="D208" s="8" t="s">
        <v>94</v>
      </c>
      <c r="E208" s="8" t="s">
        <v>105</v>
      </c>
      <c r="F208" s="8" t="s">
        <v>106</v>
      </c>
      <c r="G208" s="8" t="s">
        <v>46</v>
      </c>
      <c r="H208" s="8">
        <v>5</v>
      </c>
      <c r="I208" s="8">
        <v>299.99</v>
      </c>
      <c r="J208" s="8" t="s">
        <v>26</v>
      </c>
      <c r="K208" s="8" t="s">
        <v>35</v>
      </c>
      <c r="L208" s="8" t="s">
        <v>22</v>
      </c>
      <c r="M208" s="7">
        <v>44959</v>
      </c>
      <c r="N208" s="9">
        <v>1499.95</v>
      </c>
    </row>
    <row r="209" spans="1:14" ht="15.75" customHeight="1" x14ac:dyDescent="0.3">
      <c r="A209" s="6" t="s">
        <v>354</v>
      </c>
      <c r="B209" s="15">
        <v>45600</v>
      </c>
      <c r="C209" s="8" t="s">
        <v>150</v>
      </c>
      <c r="D209" s="8" t="s">
        <v>151</v>
      </c>
      <c r="E209" s="8" t="s">
        <v>31</v>
      </c>
      <c r="F209" s="8" t="s">
        <v>32</v>
      </c>
      <c r="G209" s="8" t="s">
        <v>33</v>
      </c>
      <c r="H209" s="8">
        <v>5</v>
      </c>
      <c r="I209" s="8">
        <v>59.99</v>
      </c>
      <c r="J209" s="8" t="s">
        <v>57</v>
      </c>
      <c r="K209" s="8" t="s">
        <v>21</v>
      </c>
      <c r="L209" s="8" t="s">
        <v>36</v>
      </c>
      <c r="M209" s="7">
        <v>45177</v>
      </c>
      <c r="N209" s="9">
        <v>299.95</v>
      </c>
    </row>
    <row r="210" spans="1:14" ht="15.75" customHeight="1" x14ac:dyDescent="0.3">
      <c r="A210" s="6" t="s">
        <v>355</v>
      </c>
      <c r="B210" s="15">
        <v>45601</v>
      </c>
      <c r="C210" s="8" t="s">
        <v>108</v>
      </c>
      <c r="D210" s="8" t="s">
        <v>109</v>
      </c>
      <c r="E210" s="8" t="s">
        <v>114</v>
      </c>
      <c r="F210" s="8" t="s">
        <v>115</v>
      </c>
      <c r="G210" s="8" t="s">
        <v>33</v>
      </c>
      <c r="H210" s="8">
        <v>3</v>
      </c>
      <c r="I210" s="8">
        <v>79.989999999999995</v>
      </c>
      <c r="J210" s="8" t="s">
        <v>20</v>
      </c>
      <c r="K210" s="8" t="s">
        <v>63</v>
      </c>
      <c r="L210" s="8" t="s">
        <v>27</v>
      </c>
      <c r="M210" s="7">
        <v>44436</v>
      </c>
      <c r="N210" s="9">
        <v>239.97</v>
      </c>
    </row>
    <row r="211" spans="1:14" ht="15.75" customHeight="1" x14ac:dyDescent="0.3">
      <c r="A211" s="6" t="s">
        <v>356</v>
      </c>
      <c r="B211" s="15">
        <v>45602</v>
      </c>
      <c r="C211" s="8" t="s">
        <v>29</v>
      </c>
      <c r="D211" s="8" t="s">
        <v>30</v>
      </c>
      <c r="E211" s="8" t="s">
        <v>126</v>
      </c>
      <c r="F211" s="8" t="s">
        <v>127</v>
      </c>
      <c r="G211" s="8" t="s">
        <v>46</v>
      </c>
      <c r="H211" s="8">
        <v>3</v>
      </c>
      <c r="I211" s="8">
        <v>199.99</v>
      </c>
      <c r="J211" s="8" t="s">
        <v>20</v>
      </c>
      <c r="K211" s="8" t="s">
        <v>21</v>
      </c>
      <c r="L211" s="8" t="s">
        <v>22</v>
      </c>
      <c r="M211" s="7">
        <v>44735</v>
      </c>
      <c r="N211" s="9">
        <v>599.97</v>
      </c>
    </row>
    <row r="212" spans="1:14" ht="15.75" customHeight="1" x14ac:dyDescent="0.3">
      <c r="A212" s="6" t="s">
        <v>357</v>
      </c>
      <c r="B212" s="15">
        <v>45603</v>
      </c>
      <c r="C212" s="8" t="s">
        <v>15</v>
      </c>
      <c r="D212" s="8" t="s">
        <v>16</v>
      </c>
      <c r="E212" s="8" t="s">
        <v>117</v>
      </c>
      <c r="F212" s="8" t="s">
        <v>118</v>
      </c>
      <c r="G212" s="8" t="s">
        <v>19</v>
      </c>
      <c r="H212" s="8">
        <v>2</v>
      </c>
      <c r="I212" s="8">
        <v>89.99</v>
      </c>
      <c r="J212" s="8" t="s">
        <v>34</v>
      </c>
      <c r="K212" s="8" t="s">
        <v>21</v>
      </c>
      <c r="L212" s="8" t="s">
        <v>22</v>
      </c>
      <c r="M212" s="7">
        <v>45257</v>
      </c>
      <c r="N212" s="9">
        <v>179.98</v>
      </c>
    </row>
    <row r="213" spans="1:14" ht="15.75" customHeight="1" x14ac:dyDescent="0.3">
      <c r="A213" s="6" t="s">
        <v>358</v>
      </c>
      <c r="B213" s="15">
        <v>45604</v>
      </c>
      <c r="C213" s="8" t="s">
        <v>259</v>
      </c>
      <c r="D213" s="8" t="s">
        <v>260</v>
      </c>
      <c r="E213" s="8" t="s">
        <v>44</v>
      </c>
      <c r="F213" s="8" t="s">
        <v>45</v>
      </c>
      <c r="G213" s="8" t="s">
        <v>46</v>
      </c>
      <c r="H213" s="8">
        <v>2</v>
      </c>
      <c r="I213" s="8">
        <v>149.99</v>
      </c>
      <c r="J213" s="8" t="s">
        <v>20</v>
      </c>
      <c r="K213" s="8" t="s">
        <v>35</v>
      </c>
      <c r="L213" s="8" t="s">
        <v>27</v>
      </c>
      <c r="M213" s="7">
        <v>44728</v>
      </c>
      <c r="N213" s="9">
        <v>299.98</v>
      </c>
    </row>
    <row r="214" spans="1:14" ht="15.75" customHeight="1" x14ac:dyDescent="0.3">
      <c r="A214" s="6" t="s">
        <v>359</v>
      </c>
      <c r="B214" s="15">
        <v>45605</v>
      </c>
      <c r="C214" s="8" t="s">
        <v>123</v>
      </c>
      <c r="D214" s="8" t="s">
        <v>124</v>
      </c>
      <c r="E214" s="8" t="s">
        <v>80</v>
      </c>
      <c r="F214" s="8" t="s">
        <v>81</v>
      </c>
      <c r="G214" s="8" t="s">
        <v>19</v>
      </c>
      <c r="H214" s="8">
        <v>5</v>
      </c>
      <c r="I214" s="8">
        <v>699.99</v>
      </c>
      <c r="J214" s="8" t="s">
        <v>34</v>
      </c>
      <c r="K214" s="8" t="s">
        <v>35</v>
      </c>
      <c r="L214" s="8" t="s">
        <v>27</v>
      </c>
      <c r="M214" s="7">
        <v>45352</v>
      </c>
      <c r="N214" s="9">
        <v>3499.95</v>
      </c>
    </row>
    <row r="215" spans="1:14" ht="15.75" customHeight="1" x14ac:dyDescent="0.3">
      <c r="A215" s="6" t="s">
        <v>360</v>
      </c>
      <c r="B215" s="15">
        <v>45606</v>
      </c>
      <c r="C215" s="8" t="s">
        <v>42</v>
      </c>
      <c r="D215" s="8" t="s">
        <v>43</v>
      </c>
      <c r="E215" s="8" t="s">
        <v>44</v>
      </c>
      <c r="F215" s="8" t="s">
        <v>45</v>
      </c>
      <c r="G215" s="8" t="s">
        <v>46</v>
      </c>
      <c r="H215" s="8">
        <v>3</v>
      </c>
      <c r="I215" s="8">
        <v>149.99</v>
      </c>
      <c r="J215" s="8" t="s">
        <v>34</v>
      </c>
      <c r="K215" s="8" t="s">
        <v>21</v>
      </c>
      <c r="L215" s="8" t="s">
        <v>36</v>
      </c>
      <c r="M215" s="7">
        <v>44633</v>
      </c>
      <c r="N215" s="9">
        <v>449.97</v>
      </c>
    </row>
    <row r="216" spans="1:14" ht="15.75" customHeight="1" x14ac:dyDescent="0.3">
      <c r="A216" s="6" t="s">
        <v>361</v>
      </c>
      <c r="B216" s="15">
        <v>45607</v>
      </c>
      <c r="C216" s="8" t="s">
        <v>96</v>
      </c>
      <c r="D216" s="8" t="s">
        <v>97</v>
      </c>
      <c r="E216" s="8" t="s">
        <v>61</v>
      </c>
      <c r="F216" s="8" t="s">
        <v>62</v>
      </c>
      <c r="G216" s="8" t="s">
        <v>19</v>
      </c>
      <c r="H216" s="8">
        <v>3</v>
      </c>
      <c r="I216" s="8">
        <v>899.99</v>
      </c>
      <c r="J216" s="8" t="s">
        <v>20</v>
      </c>
      <c r="K216" s="8" t="s">
        <v>63</v>
      </c>
      <c r="L216" s="8" t="s">
        <v>36</v>
      </c>
      <c r="M216" s="7">
        <v>44613</v>
      </c>
      <c r="N216" s="9">
        <v>2699.97</v>
      </c>
    </row>
    <row r="217" spans="1:14" ht="15.75" customHeight="1" x14ac:dyDescent="0.3">
      <c r="A217" s="6" t="s">
        <v>362</v>
      </c>
      <c r="B217" s="15">
        <v>45608</v>
      </c>
      <c r="C217" s="8" t="s">
        <v>192</v>
      </c>
      <c r="D217" s="8" t="s">
        <v>193</v>
      </c>
      <c r="E217" s="8" t="s">
        <v>126</v>
      </c>
      <c r="F217" s="8" t="s">
        <v>127</v>
      </c>
      <c r="G217" s="8" t="s">
        <v>46</v>
      </c>
      <c r="H217" s="8">
        <v>3</v>
      </c>
      <c r="I217" s="8">
        <v>199.99</v>
      </c>
      <c r="J217" s="8" t="s">
        <v>20</v>
      </c>
      <c r="K217" s="8" t="s">
        <v>50</v>
      </c>
      <c r="L217" s="8" t="s">
        <v>27</v>
      </c>
      <c r="M217" s="7">
        <v>44823</v>
      </c>
      <c r="N217" s="9">
        <v>599.97</v>
      </c>
    </row>
    <row r="218" spans="1:14" ht="15.75" customHeight="1" x14ac:dyDescent="0.3">
      <c r="A218" s="6" t="s">
        <v>363</v>
      </c>
      <c r="B218" s="15">
        <v>45609</v>
      </c>
      <c r="C218" s="8" t="s">
        <v>55</v>
      </c>
      <c r="D218" s="8" t="s">
        <v>56</v>
      </c>
      <c r="E218" s="8" t="s">
        <v>105</v>
      </c>
      <c r="F218" s="8" t="s">
        <v>106</v>
      </c>
      <c r="G218" s="8" t="s">
        <v>46</v>
      </c>
      <c r="H218" s="8">
        <v>5</v>
      </c>
      <c r="I218" s="8">
        <v>299.99</v>
      </c>
      <c r="J218" s="8" t="s">
        <v>20</v>
      </c>
      <c r="K218" s="8" t="s">
        <v>50</v>
      </c>
      <c r="L218" s="8" t="s">
        <v>36</v>
      </c>
      <c r="M218" s="7">
        <v>45142</v>
      </c>
      <c r="N218" s="9">
        <v>1499.95</v>
      </c>
    </row>
    <row r="219" spans="1:14" ht="15.75" customHeight="1" x14ac:dyDescent="0.3">
      <c r="A219" s="6" t="s">
        <v>364</v>
      </c>
      <c r="B219" s="15">
        <v>45610</v>
      </c>
      <c r="C219" s="8" t="s">
        <v>150</v>
      </c>
      <c r="D219" s="8" t="s">
        <v>151</v>
      </c>
      <c r="E219" s="8" t="s">
        <v>80</v>
      </c>
      <c r="F219" s="8" t="s">
        <v>81</v>
      </c>
      <c r="G219" s="8" t="s">
        <v>19</v>
      </c>
      <c r="H219" s="8">
        <v>1</v>
      </c>
      <c r="I219" s="8">
        <v>699.99</v>
      </c>
      <c r="J219" s="8" t="s">
        <v>34</v>
      </c>
      <c r="K219" s="8" t="s">
        <v>50</v>
      </c>
      <c r="L219" s="8" t="s">
        <v>22</v>
      </c>
      <c r="M219" s="7">
        <v>44934</v>
      </c>
      <c r="N219" s="9">
        <v>699.99</v>
      </c>
    </row>
    <row r="220" spans="1:14" ht="15.75" customHeight="1" x14ac:dyDescent="0.3">
      <c r="A220" s="6" t="s">
        <v>365</v>
      </c>
      <c r="B220" s="15">
        <v>45611</v>
      </c>
      <c r="C220" s="8" t="s">
        <v>246</v>
      </c>
      <c r="D220" s="8" t="s">
        <v>247</v>
      </c>
      <c r="E220" s="8" t="s">
        <v>80</v>
      </c>
      <c r="F220" s="8" t="s">
        <v>81</v>
      </c>
      <c r="G220" s="8" t="s">
        <v>19</v>
      </c>
      <c r="H220" s="8">
        <v>1</v>
      </c>
      <c r="I220" s="8">
        <v>699.99</v>
      </c>
      <c r="J220" s="8" t="s">
        <v>20</v>
      </c>
      <c r="K220" s="8" t="s">
        <v>40</v>
      </c>
      <c r="L220" s="8" t="s">
        <v>27</v>
      </c>
      <c r="M220" s="7">
        <v>44583</v>
      </c>
      <c r="N220" s="9">
        <v>699.99</v>
      </c>
    </row>
    <row r="221" spans="1:14" ht="15.75" customHeight="1" x14ac:dyDescent="0.3">
      <c r="A221" s="6" t="s">
        <v>366</v>
      </c>
      <c r="B221" s="15">
        <v>45612</v>
      </c>
      <c r="C221" s="8" t="s">
        <v>325</v>
      </c>
      <c r="D221" s="8" t="s">
        <v>326</v>
      </c>
      <c r="E221" s="8" t="s">
        <v>44</v>
      </c>
      <c r="F221" s="8" t="s">
        <v>45</v>
      </c>
      <c r="G221" s="8" t="s">
        <v>46</v>
      </c>
      <c r="H221" s="8">
        <v>4</v>
      </c>
      <c r="I221" s="8">
        <v>149.99</v>
      </c>
      <c r="J221" s="8" t="s">
        <v>34</v>
      </c>
      <c r="K221" s="8" t="s">
        <v>40</v>
      </c>
      <c r="L221" s="8" t="s">
        <v>27</v>
      </c>
      <c r="M221" s="7">
        <v>44412</v>
      </c>
      <c r="N221" s="9">
        <v>599.96</v>
      </c>
    </row>
    <row r="222" spans="1:14" ht="15.75" customHeight="1" x14ac:dyDescent="0.3">
      <c r="A222" s="6" t="s">
        <v>367</v>
      </c>
      <c r="B222" s="15">
        <v>45613</v>
      </c>
      <c r="C222" s="8" t="s">
        <v>211</v>
      </c>
      <c r="D222" s="8" t="s">
        <v>212</v>
      </c>
      <c r="E222" s="8" t="s">
        <v>117</v>
      </c>
      <c r="F222" s="8" t="s">
        <v>118</v>
      </c>
      <c r="G222" s="8" t="s">
        <v>19</v>
      </c>
      <c r="H222" s="8">
        <v>5</v>
      </c>
      <c r="I222" s="8">
        <v>89.99</v>
      </c>
      <c r="J222" s="8" t="s">
        <v>34</v>
      </c>
      <c r="K222" s="8" t="s">
        <v>50</v>
      </c>
      <c r="L222" s="8" t="s">
        <v>27</v>
      </c>
      <c r="M222" s="7">
        <v>45140</v>
      </c>
      <c r="N222" s="9">
        <v>449.95</v>
      </c>
    </row>
    <row r="223" spans="1:14" ht="15.75" customHeight="1" x14ac:dyDescent="0.3">
      <c r="A223" s="6" t="s">
        <v>368</v>
      </c>
      <c r="B223" s="15">
        <v>45614</v>
      </c>
      <c r="C223" s="8" t="s">
        <v>138</v>
      </c>
      <c r="D223" s="8" t="s">
        <v>139</v>
      </c>
      <c r="E223" s="8" t="s">
        <v>126</v>
      </c>
      <c r="F223" s="8" t="s">
        <v>127</v>
      </c>
      <c r="G223" s="8" t="s">
        <v>46</v>
      </c>
      <c r="H223" s="8">
        <v>2</v>
      </c>
      <c r="I223" s="8">
        <v>199.99</v>
      </c>
      <c r="J223" s="8" t="s">
        <v>20</v>
      </c>
      <c r="K223" s="8" t="s">
        <v>21</v>
      </c>
      <c r="L223" s="8" t="s">
        <v>27</v>
      </c>
      <c r="M223" s="7">
        <v>44573</v>
      </c>
      <c r="N223" s="9">
        <v>399.98</v>
      </c>
    </row>
    <row r="224" spans="1:14" ht="15.75" customHeight="1" x14ac:dyDescent="0.3">
      <c r="A224" s="6" t="s">
        <v>369</v>
      </c>
      <c r="B224" s="15">
        <v>45615</v>
      </c>
      <c r="C224" s="8" t="s">
        <v>259</v>
      </c>
      <c r="D224" s="8" t="s">
        <v>260</v>
      </c>
      <c r="E224" s="8" t="s">
        <v>31</v>
      </c>
      <c r="F224" s="8" t="s">
        <v>32</v>
      </c>
      <c r="G224" s="8" t="s">
        <v>33</v>
      </c>
      <c r="H224" s="8">
        <v>4</v>
      </c>
      <c r="I224" s="8">
        <v>59.99</v>
      </c>
      <c r="J224" s="8" t="s">
        <v>20</v>
      </c>
      <c r="K224" s="8" t="s">
        <v>50</v>
      </c>
      <c r="L224" s="8" t="s">
        <v>36</v>
      </c>
      <c r="M224" s="7">
        <v>45070</v>
      </c>
      <c r="N224" s="9">
        <v>239.96</v>
      </c>
    </row>
    <row r="225" spans="1:14" ht="15.75" customHeight="1" x14ac:dyDescent="0.3">
      <c r="A225" s="6" t="s">
        <v>370</v>
      </c>
      <c r="B225" s="15">
        <v>45616</v>
      </c>
      <c r="C225" s="8" t="s">
        <v>93</v>
      </c>
      <c r="D225" s="8" t="s">
        <v>94</v>
      </c>
      <c r="E225" s="8" t="s">
        <v>105</v>
      </c>
      <c r="F225" s="8" t="s">
        <v>106</v>
      </c>
      <c r="G225" s="8" t="s">
        <v>46</v>
      </c>
      <c r="H225" s="8">
        <v>2</v>
      </c>
      <c r="I225" s="8">
        <v>299.99</v>
      </c>
      <c r="J225" s="8" t="s">
        <v>34</v>
      </c>
      <c r="K225" s="8" t="s">
        <v>35</v>
      </c>
      <c r="L225" s="8" t="s">
        <v>22</v>
      </c>
      <c r="M225" s="7">
        <v>44576</v>
      </c>
      <c r="N225" s="9">
        <v>599.98</v>
      </c>
    </row>
    <row r="226" spans="1:14" ht="15.75" customHeight="1" x14ac:dyDescent="0.3">
      <c r="A226" s="6" t="s">
        <v>371</v>
      </c>
      <c r="B226" s="15">
        <v>45617</v>
      </c>
      <c r="C226" s="8" t="s">
        <v>55</v>
      </c>
      <c r="D226" s="8" t="s">
        <v>56</v>
      </c>
      <c r="E226" s="8" t="s">
        <v>44</v>
      </c>
      <c r="F226" s="8" t="s">
        <v>45</v>
      </c>
      <c r="G226" s="8" t="s">
        <v>46</v>
      </c>
      <c r="H226" s="8">
        <v>2</v>
      </c>
      <c r="I226" s="8">
        <v>149.99</v>
      </c>
      <c r="J226" s="8" t="s">
        <v>20</v>
      </c>
      <c r="K226" s="8" t="s">
        <v>21</v>
      </c>
      <c r="L226" s="8" t="s">
        <v>22</v>
      </c>
      <c r="M226" s="7">
        <v>45068</v>
      </c>
      <c r="N226" s="9">
        <v>299.98</v>
      </c>
    </row>
    <row r="227" spans="1:14" ht="15.75" customHeight="1" x14ac:dyDescent="0.3">
      <c r="A227" s="6" t="s">
        <v>372</v>
      </c>
      <c r="B227" s="15">
        <v>45618</v>
      </c>
      <c r="C227" s="8" t="s">
        <v>226</v>
      </c>
      <c r="D227" s="8" t="s">
        <v>227</v>
      </c>
      <c r="E227" s="8" t="s">
        <v>80</v>
      </c>
      <c r="F227" s="8" t="s">
        <v>81</v>
      </c>
      <c r="G227" s="8" t="s">
        <v>19</v>
      </c>
      <c r="H227" s="8">
        <v>5</v>
      </c>
      <c r="I227" s="8">
        <v>699.99</v>
      </c>
      <c r="J227" s="8" t="s">
        <v>57</v>
      </c>
      <c r="K227" s="8" t="s">
        <v>63</v>
      </c>
      <c r="L227" s="8" t="s">
        <v>27</v>
      </c>
      <c r="M227" s="7">
        <v>45161</v>
      </c>
      <c r="N227" s="9">
        <v>3499.95</v>
      </c>
    </row>
    <row r="228" spans="1:14" ht="15.75" customHeight="1" x14ac:dyDescent="0.3">
      <c r="A228" s="6" t="s">
        <v>373</v>
      </c>
      <c r="B228" s="15">
        <v>45619</v>
      </c>
      <c r="C228" s="8" t="s">
        <v>75</v>
      </c>
      <c r="D228" s="8" t="s">
        <v>76</v>
      </c>
      <c r="E228" s="8" t="s">
        <v>31</v>
      </c>
      <c r="F228" s="8" t="s">
        <v>32</v>
      </c>
      <c r="G228" s="8" t="s">
        <v>33</v>
      </c>
      <c r="H228" s="8">
        <v>5</v>
      </c>
      <c r="I228" s="8">
        <v>59.99</v>
      </c>
      <c r="J228" s="8" t="s">
        <v>20</v>
      </c>
      <c r="K228" s="8" t="s">
        <v>50</v>
      </c>
      <c r="L228" s="8" t="s">
        <v>27</v>
      </c>
      <c r="M228" s="7">
        <v>45291</v>
      </c>
      <c r="N228" s="9">
        <v>299.95</v>
      </c>
    </row>
    <row r="229" spans="1:14" ht="15.75" customHeight="1" x14ac:dyDescent="0.3">
      <c r="A229" s="6" t="s">
        <v>374</v>
      </c>
      <c r="B229" s="15">
        <v>45620</v>
      </c>
      <c r="C229" s="8" t="s">
        <v>15</v>
      </c>
      <c r="D229" s="8" t="s">
        <v>16</v>
      </c>
      <c r="E229" s="8" t="s">
        <v>117</v>
      </c>
      <c r="F229" s="8" t="s">
        <v>118</v>
      </c>
      <c r="G229" s="8" t="s">
        <v>19</v>
      </c>
      <c r="H229" s="8">
        <v>2</v>
      </c>
      <c r="I229" s="8">
        <v>89.99</v>
      </c>
      <c r="J229" s="8" t="s">
        <v>26</v>
      </c>
      <c r="K229" s="8" t="s">
        <v>50</v>
      </c>
      <c r="L229" s="8" t="s">
        <v>27</v>
      </c>
      <c r="M229" s="7">
        <v>45295</v>
      </c>
      <c r="N229" s="9">
        <v>179.98</v>
      </c>
    </row>
    <row r="230" spans="1:14" ht="15.75" customHeight="1" x14ac:dyDescent="0.3">
      <c r="A230" s="6" t="s">
        <v>375</v>
      </c>
      <c r="B230" s="15">
        <v>45621</v>
      </c>
      <c r="C230" s="8" t="s">
        <v>120</v>
      </c>
      <c r="D230" s="8" t="s">
        <v>121</v>
      </c>
      <c r="E230" s="8" t="s">
        <v>17</v>
      </c>
      <c r="F230" s="8" t="s">
        <v>18</v>
      </c>
      <c r="G230" s="8" t="s">
        <v>19</v>
      </c>
      <c r="H230" s="8">
        <v>5</v>
      </c>
      <c r="I230" s="8">
        <v>249.99</v>
      </c>
      <c r="J230" s="8" t="s">
        <v>20</v>
      </c>
      <c r="K230" s="8" t="s">
        <v>63</v>
      </c>
      <c r="L230" s="8" t="s">
        <v>36</v>
      </c>
      <c r="M230" s="7">
        <v>44540</v>
      </c>
      <c r="N230" s="9">
        <v>1249.95</v>
      </c>
    </row>
    <row r="231" spans="1:14" ht="15.75" customHeight="1" x14ac:dyDescent="0.3">
      <c r="A231" s="6" t="s">
        <v>376</v>
      </c>
      <c r="B231" s="15">
        <v>45622</v>
      </c>
      <c r="C231" s="8" t="s">
        <v>226</v>
      </c>
      <c r="D231" s="8" t="s">
        <v>227</v>
      </c>
      <c r="E231" s="8" t="s">
        <v>44</v>
      </c>
      <c r="F231" s="8" t="s">
        <v>45</v>
      </c>
      <c r="G231" s="8" t="s">
        <v>46</v>
      </c>
      <c r="H231" s="8">
        <v>2</v>
      </c>
      <c r="I231" s="8">
        <v>149.99</v>
      </c>
      <c r="J231" s="8" t="s">
        <v>34</v>
      </c>
      <c r="K231" s="8" t="s">
        <v>21</v>
      </c>
      <c r="L231" s="8" t="s">
        <v>27</v>
      </c>
      <c r="M231" s="7">
        <v>44632</v>
      </c>
      <c r="N231" s="9">
        <v>299.98</v>
      </c>
    </row>
    <row r="232" spans="1:14" ht="15.75" customHeight="1" x14ac:dyDescent="0.3">
      <c r="A232" s="6" t="s">
        <v>377</v>
      </c>
      <c r="B232" s="15">
        <v>45623</v>
      </c>
      <c r="C232" s="8" t="s">
        <v>144</v>
      </c>
      <c r="D232" s="8" t="s">
        <v>145</v>
      </c>
      <c r="E232" s="8" t="s">
        <v>61</v>
      </c>
      <c r="F232" s="8" t="s">
        <v>62</v>
      </c>
      <c r="G232" s="8" t="s">
        <v>19</v>
      </c>
      <c r="H232" s="8">
        <v>5</v>
      </c>
      <c r="I232" s="8">
        <v>899.99</v>
      </c>
      <c r="J232" s="8" t="s">
        <v>34</v>
      </c>
      <c r="K232" s="8" t="s">
        <v>63</v>
      </c>
      <c r="L232" s="8" t="s">
        <v>27</v>
      </c>
      <c r="M232" s="7">
        <v>45389</v>
      </c>
      <c r="N232" s="9">
        <v>4499.95</v>
      </c>
    </row>
    <row r="233" spans="1:14" ht="15.75" customHeight="1" x14ac:dyDescent="0.3">
      <c r="A233" s="6" t="s">
        <v>378</v>
      </c>
      <c r="B233" s="15">
        <v>45624</v>
      </c>
      <c r="C233" s="8" t="s">
        <v>55</v>
      </c>
      <c r="D233" s="8" t="s">
        <v>56</v>
      </c>
      <c r="E233" s="8" t="s">
        <v>44</v>
      </c>
      <c r="F233" s="8" t="s">
        <v>45</v>
      </c>
      <c r="G233" s="8" t="s">
        <v>46</v>
      </c>
      <c r="H233" s="8">
        <v>4</v>
      </c>
      <c r="I233" s="8">
        <v>149.99</v>
      </c>
      <c r="J233" s="8" t="s">
        <v>20</v>
      </c>
      <c r="K233" s="8" t="s">
        <v>21</v>
      </c>
      <c r="L233" s="8" t="s">
        <v>36</v>
      </c>
      <c r="M233" s="7">
        <v>45263</v>
      </c>
      <c r="N233" s="9">
        <v>599.96</v>
      </c>
    </row>
    <row r="234" spans="1:14" ht="15.75" customHeight="1" x14ac:dyDescent="0.3">
      <c r="A234" s="6" t="s">
        <v>379</v>
      </c>
      <c r="B234" s="15">
        <v>45625</v>
      </c>
      <c r="C234" s="8" t="s">
        <v>144</v>
      </c>
      <c r="D234" s="8" t="s">
        <v>145</v>
      </c>
      <c r="E234" s="8" t="s">
        <v>17</v>
      </c>
      <c r="F234" s="8" t="s">
        <v>18</v>
      </c>
      <c r="G234" s="8" t="s">
        <v>19</v>
      </c>
      <c r="H234" s="8">
        <v>1</v>
      </c>
      <c r="I234" s="8">
        <v>249.99</v>
      </c>
      <c r="J234" s="8" t="s">
        <v>20</v>
      </c>
      <c r="K234" s="8" t="s">
        <v>40</v>
      </c>
      <c r="L234" s="8" t="s">
        <v>36</v>
      </c>
      <c r="M234" s="7">
        <v>45117</v>
      </c>
      <c r="N234" s="9">
        <v>249.99</v>
      </c>
    </row>
    <row r="235" spans="1:14" ht="15.75" customHeight="1" x14ac:dyDescent="0.3">
      <c r="A235" s="6" t="s">
        <v>380</v>
      </c>
      <c r="B235" s="15">
        <v>45626</v>
      </c>
      <c r="C235" s="8" t="s">
        <v>192</v>
      </c>
      <c r="D235" s="8" t="s">
        <v>193</v>
      </c>
      <c r="E235" s="8" t="s">
        <v>31</v>
      </c>
      <c r="F235" s="8" t="s">
        <v>32</v>
      </c>
      <c r="G235" s="8" t="s">
        <v>33</v>
      </c>
      <c r="H235" s="8">
        <v>2</v>
      </c>
      <c r="I235" s="8">
        <v>59.99</v>
      </c>
      <c r="J235" s="8" t="s">
        <v>26</v>
      </c>
      <c r="K235" s="8" t="s">
        <v>50</v>
      </c>
      <c r="L235" s="8" t="s">
        <v>22</v>
      </c>
      <c r="M235" s="7">
        <v>45193</v>
      </c>
      <c r="N235" s="9">
        <v>119.98</v>
      </c>
    </row>
    <row r="236" spans="1:14" ht="15.75" customHeight="1" x14ac:dyDescent="0.3">
      <c r="A236" s="6" t="s">
        <v>381</v>
      </c>
      <c r="B236" s="15">
        <v>45627</v>
      </c>
      <c r="C236" s="8" t="s">
        <v>132</v>
      </c>
      <c r="D236" s="8" t="s">
        <v>133</v>
      </c>
      <c r="E236" s="8" t="s">
        <v>44</v>
      </c>
      <c r="F236" s="8" t="s">
        <v>45</v>
      </c>
      <c r="G236" s="8" t="s">
        <v>46</v>
      </c>
      <c r="H236" s="8">
        <v>2</v>
      </c>
      <c r="I236" s="8">
        <v>149.99</v>
      </c>
      <c r="J236" s="8" t="s">
        <v>20</v>
      </c>
      <c r="K236" s="8" t="s">
        <v>50</v>
      </c>
      <c r="L236" s="8" t="s">
        <v>27</v>
      </c>
      <c r="M236" s="7">
        <v>45233</v>
      </c>
      <c r="N236" s="9">
        <v>299.98</v>
      </c>
    </row>
    <row r="237" spans="1:14" ht="15.75" customHeight="1" x14ac:dyDescent="0.3">
      <c r="A237" s="6" t="s">
        <v>382</v>
      </c>
      <c r="B237" s="15">
        <v>45628</v>
      </c>
      <c r="C237" s="8" t="s">
        <v>150</v>
      </c>
      <c r="D237" s="8" t="s">
        <v>151</v>
      </c>
      <c r="E237" s="8" t="s">
        <v>61</v>
      </c>
      <c r="F237" s="8" t="s">
        <v>62</v>
      </c>
      <c r="G237" s="8" t="s">
        <v>19</v>
      </c>
      <c r="H237" s="8">
        <v>3</v>
      </c>
      <c r="I237" s="8">
        <v>899.99</v>
      </c>
      <c r="J237" s="8" t="s">
        <v>57</v>
      </c>
      <c r="K237" s="8" t="s">
        <v>40</v>
      </c>
      <c r="L237" s="8" t="s">
        <v>27</v>
      </c>
      <c r="M237" s="7">
        <v>44876</v>
      </c>
      <c r="N237" s="9">
        <v>2699.97</v>
      </c>
    </row>
    <row r="238" spans="1:14" ht="15.75" customHeight="1" x14ac:dyDescent="0.3">
      <c r="A238" s="6" t="s">
        <v>383</v>
      </c>
      <c r="B238" s="15">
        <v>45629</v>
      </c>
      <c r="C238" s="8" t="s">
        <v>48</v>
      </c>
      <c r="D238" s="8" t="s">
        <v>49</v>
      </c>
      <c r="E238" s="8" t="s">
        <v>61</v>
      </c>
      <c r="F238" s="8" t="s">
        <v>62</v>
      </c>
      <c r="G238" s="8" t="s">
        <v>19</v>
      </c>
      <c r="H238" s="8">
        <v>3</v>
      </c>
      <c r="I238" s="8">
        <v>899.99</v>
      </c>
      <c r="J238" s="8" t="s">
        <v>34</v>
      </c>
      <c r="K238" s="8" t="s">
        <v>40</v>
      </c>
      <c r="L238" s="8" t="s">
        <v>22</v>
      </c>
      <c r="M238" s="7">
        <v>44975</v>
      </c>
      <c r="N238" s="9">
        <v>2699.97</v>
      </c>
    </row>
    <row r="239" spans="1:14" ht="15.75" customHeight="1" x14ac:dyDescent="0.3">
      <c r="A239" s="6" t="s">
        <v>384</v>
      </c>
      <c r="B239" s="15">
        <v>45630</v>
      </c>
      <c r="C239" s="8" t="s">
        <v>15</v>
      </c>
      <c r="D239" s="8" t="s">
        <v>16</v>
      </c>
      <c r="E239" s="8" t="s">
        <v>105</v>
      </c>
      <c r="F239" s="8" t="s">
        <v>106</v>
      </c>
      <c r="G239" s="8" t="s">
        <v>46</v>
      </c>
      <c r="H239" s="8">
        <v>3</v>
      </c>
      <c r="I239" s="8">
        <v>299.99</v>
      </c>
      <c r="J239" s="8" t="s">
        <v>26</v>
      </c>
      <c r="K239" s="8" t="s">
        <v>50</v>
      </c>
      <c r="L239" s="8" t="s">
        <v>27</v>
      </c>
      <c r="M239" s="7">
        <v>45234</v>
      </c>
      <c r="N239" s="9">
        <v>899.97</v>
      </c>
    </row>
    <row r="240" spans="1:14" ht="15.75" customHeight="1" x14ac:dyDescent="0.3">
      <c r="A240" s="6" t="s">
        <v>385</v>
      </c>
      <c r="B240" s="15">
        <v>45631</v>
      </c>
      <c r="C240" s="8" t="s">
        <v>386</v>
      </c>
      <c r="D240" s="8" t="s">
        <v>387</v>
      </c>
      <c r="E240" s="8" t="s">
        <v>44</v>
      </c>
      <c r="F240" s="8" t="s">
        <v>45</v>
      </c>
      <c r="G240" s="8" t="s">
        <v>46</v>
      </c>
      <c r="H240" s="8">
        <v>4</v>
      </c>
      <c r="I240" s="8">
        <v>149.99</v>
      </c>
      <c r="J240" s="8" t="s">
        <v>34</v>
      </c>
      <c r="K240" s="8" t="s">
        <v>50</v>
      </c>
      <c r="L240" s="8" t="s">
        <v>36</v>
      </c>
      <c r="M240" s="7">
        <v>44560</v>
      </c>
      <c r="N240" s="9">
        <v>599.96</v>
      </c>
    </row>
    <row r="241" spans="1:14" ht="15.75" customHeight="1" x14ac:dyDescent="0.3">
      <c r="A241" s="6" t="s">
        <v>388</v>
      </c>
      <c r="B241" s="15">
        <v>45632</v>
      </c>
      <c r="C241" s="8" t="s">
        <v>102</v>
      </c>
      <c r="D241" s="8" t="s">
        <v>103</v>
      </c>
      <c r="E241" s="8" t="s">
        <v>114</v>
      </c>
      <c r="F241" s="8" t="s">
        <v>115</v>
      </c>
      <c r="G241" s="8" t="s">
        <v>33</v>
      </c>
      <c r="H241" s="8">
        <v>4</v>
      </c>
      <c r="I241" s="8">
        <v>79.989999999999995</v>
      </c>
      <c r="J241" s="8" t="s">
        <v>26</v>
      </c>
      <c r="K241" s="8" t="s">
        <v>21</v>
      </c>
      <c r="L241" s="8" t="s">
        <v>22</v>
      </c>
      <c r="M241" s="7">
        <v>45288</v>
      </c>
      <c r="N241" s="9">
        <v>319.95999999999998</v>
      </c>
    </row>
    <row r="242" spans="1:14" ht="15.75" customHeight="1" x14ac:dyDescent="0.3">
      <c r="A242" s="6" t="s">
        <v>389</v>
      </c>
      <c r="B242" s="15">
        <v>45633</v>
      </c>
      <c r="C242" s="8" t="s">
        <v>185</v>
      </c>
      <c r="D242" s="8" t="s">
        <v>186</v>
      </c>
      <c r="E242" s="8" t="s">
        <v>117</v>
      </c>
      <c r="F242" s="8" t="s">
        <v>118</v>
      </c>
      <c r="G242" s="8" t="s">
        <v>19</v>
      </c>
      <c r="H242" s="8">
        <v>5</v>
      </c>
      <c r="I242" s="8">
        <v>89.99</v>
      </c>
      <c r="J242" s="8" t="s">
        <v>34</v>
      </c>
      <c r="K242" s="8" t="s">
        <v>35</v>
      </c>
      <c r="L242" s="8" t="s">
        <v>22</v>
      </c>
      <c r="M242" s="7">
        <v>44704</v>
      </c>
      <c r="N242" s="9">
        <v>449.95</v>
      </c>
    </row>
    <row r="243" spans="1:14" ht="15.75" customHeight="1" x14ac:dyDescent="0.3">
      <c r="A243" s="6" t="s">
        <v>390</v>
      </c>
      <c r="B243" s="15">
        <v>45634</v>
      </c>
      <c r="C243" s="8" t="s">
        <v>93</v>
      </c>
      <c r="D243" s="8" t="s">
        <v>94</v>
      </c>
      <c r="E243" s="8" t="s">
        <v>44</v>
      </c>
      <c r="F243" s="8" t="s">
        <v>45</v>
      </c>
      <c r="G243" s="8" t="s">
        <v>46</v>
      </c>
      <c r="H243" s="8">
        <v>3</v>
      </c>
      <c r="I243" s="8">
        <v>149.99</v>
      </c>
      <c r="J243" s="8" t="s">
        <v>34</v>
      </c>
      <c r="K243" s="8" t="s">
        <v>21</v>
      </c>
      <c r="L243" s="8" t="s">
        <v>36</v>
      </c>
      <c r="M243" s="7">
        <v>45171</v>
      </c>
      <c r="N243" s="9">
        <v>449.97</v>
      </c>
    </row>
    <row r="244" spans="1:14" ht="15.75" customHeight="1" x14ac:dyDescent="0.3">
      <c r="A244" s="6" t="s">
        <v>391</v>
      </c>
      <c r="B244" s="15">
        <v>45635</v>
      </c>
      <c r="C244" s="8" t="s">
        <v>65</v>
      </c>
      <c r="D244" s="8" t="s">
        <v>66</v>
      </c>
      <c r="E244" s="8" t="s">
        <v>117</v>
      </c>
      <c r="F244" s="8" t="s">
        <v>118</v>
      </c>
      <c r="G244" s="8" t="s">
        <v>19</v>
      </c>
      <c r="H244" s="8">
        <v>2</v>
      </c>
      <c r="I244" s="8">
        <v>89.99</v>
      </c>
      <c r="J244" s="8" t="s">
        <v>57</v>
      </c>
      <c r="K244" s="8" t="s">
        <v>50</v>
      </c>
      <c r="L244" s="8" t="s">
        <v>27</v>
      </c>
      <c r="M244" s="7">
        <v>44522</v>
      </c>
      <c r="N244" s="9">
        <v>179.98</v>
      </c>
    </row>
    <row r="245" spans="1:14" ht="15.75" customHeight="1" x14ac:dyDescent="0.3">
      <c r="A245" s="6" t="s">
        <v>392</v>
      </c>
      <c r="B245" s="15">
        <v>45636</v>
      </c>
      <c r="C245" s="8" t="s">
        <v>102</v>
      </c>
      <c r="D245" s="8" t="s">
        <v>103</v>
      </c>
      <c r="E245" s="8" t="s">
        <v>80</v>
      </c>
      <c r="F245" s="8" t="s">
        <v>81</v>
      </c>
      <c r="G245" s="8" t="s">
        <v>19</v>
      </c>
      <c r="H245" s="8">
        <v>2</v>
      </c>
      <c r="I245" s="8">
        <v>699.99</v>
      </c>
      <c r="J245" s="8" t="s">
        <v>34</v>
      </c>
      <c r="K245" s="8" t="s">
        <v>40</v>
      </c>
      <c r="L245" s="8" t="s">
        <v>36</v>
      </c>
      <c r="M245" s="7">
        <v>44618</v>
      </c>
      <c r="N245" s="9">
        <v>1399.98</v>
      </c>
    </row>
    <row r="246" spans="1:14" ht="15.75" customHeight="1" x14ac:dyDescent="0.3">
      <c r="A246" s="6" t="s">
        <v>393</v>
      </c>
      <c r="B246" s="15">
        <v>45637</v>
      </c>
      <c r="C246" s="8" t="s">
        <v>123</v>
      </c>
      <c r="D246" s="8" t="s">
        <v>124</v>
      </c>
      <c r="E246" s="8" t="s">
        <v>61</v>
      </c>
      <c r="F246" s="8" t="s">
        <v>62</v>
      </c>
      <c r="G246" s="8" t="s">
        <v>19</v>
      </c>
      <c r="H246" s="8">
        <v>3</v>
      </c>
      <c r="I246" s="8">
        <v>899.99</v>
      </c>
      <c r="J246" s="8" t="s">
        <v>20</v>
      </c>
      <c r="K246" s="8" t="s">
        <v>21</v>
      </c>
      <c r="L246" s="8" t="s">
        <v>36</v>
      </c>
      <c r="M246" s="7">
        <v>44953</v>
      </c>
      <c r="N246" s="9">
        <v>2699.97</v>
      </c>
    </row>
    <row r="247" spans="1:14" ht="15.75" customHeight="1" x14ac:dyDescent="0.3">
      <c r="A247" s="6" t="s">
        <v>394</v>
      </c>
      <c r="B247" s="15">
        <v>45638</v>
      </c>
      <c r="C247" s="8" t="s">
        <v>93</v>
      </c>
      <c r="D247" s="8" t="s">
        <v>94</v>
      </c>
      <c r="E247" s="8" t="s">
        <v>114</v>
      </c>
      <c r="F247" s="8" t="s">
        <v>115</v>
      </c>
      <c r="G247" s="8" t="s">
        <v>33</v>
      </c>
      <c r="H247" s="8">
        <v>3</v>
      </c>
      <c r="I247" s="8">
        <v>79.989999999999995</v>
      </c>
      <c r="J247" s="8" t="s">
        <v>26</v>
      </c>
      <c r="K247" s="8" t="s">
        <v>40</v>
      </c>
      <c r="L247" s="8" t="s">
        <v>22</v>
      </c>
      <c r="M247" s="7">
        <v>44511</v>
      </c>
      <c r="N247" s="9">
        <v>239.97</v>
      </c>
    </row>
    <row r="248" spans="1:14" ht="15.75" customHeight="1" x14ac:dyDescent="0.3">
      <c r="A248" s="6" t="s">
        <v>395</v>
      </c>
      <c r="B248" s="15">
        <v>45639</v>
      </c>
      <c r="C248" s="8" t="s">
        <v>59</v>
      </c>
      <c r="D248" s="8" t="s">
        <v>60</v>
      </c>
      <c r="E248" s="8" t="s">
        <v>117</v>
      </c>
      <c r="F248" s="8" t="s">
        <v>118</v>
      </c>
      <c r="G248" s="8" t="s">
        <v>19</v>
      </c>
      <c r="H248" s="8">
        <v>1</v>
      </c>
      <c r="I248" s="8">
        <v>89.99</v>
      </c>
      <c r="J248" s="8" t="s">
        <v>57</v>
      </c>
      <c r="K248" s="8" t="s">
        <v>63</v>
      </c>
      <c r="L248" s="8" t="s">
        <v>22</v>
      </c>
      <c r="M248" s="7">
        <v>45346</v>
      </c>
      <c r="N248" s="9">
        <v>89.99</v>
      </c>
    </row>
    <row r="249" spans="1:14" ht="15.75" customHeight="1" x14ac:dyDescent="0.3">
      <c r="A249" s="6" t="s">
        <v>396</v>
      </c>
      <c r="B249" s="15">
        <v>45640</v>
      </c>
      <c r="C249" s="8" t="s">
        <v>293</v>
      </c>
      <c r="D249" s="8" t="s">
        <v>294</v>
      </c>
      <c r="E249" s="8" t="s">
        <v>80</v>
      </c>
      <c r="F249" s="8" t="s">
        <v>81</v>
      </c>
      <c r="G249" s="8" t="s">
        <v>19</v>
      </c>
      <c r="H249" s="8">
        <v>3</v>
      </c>
      <c r="I249" s="8">
        <v>699.99</v>
      </c>
      <c r="J249" s="8" t="s">
        <v>34</v>
      </c>
      <c r="K249" s="8" t="s">
        <v>40</v>
      </c>
      <c r="L249" s="8" t="s">
        <v>22</v>
      </c>
      <c r="M249" s="7">
        <v>44909</v>
      </c>
      <c r="N249" s="9">
        <v>2099.9699999999998</v>
      </c>
    </row>
    <row r="250" spans="1:14" ht="15.75" customHeight="1" x14ac:dyDescent="0.3">
      <c r="A250" s="6" t="s">
        <v>397</v>
      </c>
      <c r="B250" s="15">
        <v>45641</v>
      </c>
      <c r="C250" s="8" t="s">
        <v>226</v>
      </c>
      <c r="D250" s="8" t="s">
        <v>227</v>
      </c>
      <c r="E250" s="8" t="s">
        <v>117</v>
      </c>
      <c r="F250" s="8" t="s">
        <v>118</v>
      </c>
      <c r="G250" s="8" t="s">
        <v>19</v>
      </c>
      <c r="H250" s="8">
        <v>2</v>
      </c>
      <c r="I250" s="8">
        <v>89.99</v>
      </c>
      <c r="J250" s="8" t="s">
        <v>57</v>
      </c>
      <c r="K250" s="8" t="s">
        <v>63</v>
      </c>
      <c r="L250" s="8" t="s">
        <v>22</v>
      </c>
      <c r="M250" s="7">
        <v>45088</v>
      </c>
      <c r="N250" s="9">
        <v>179.98</v>
      </c>
    </row>
    <row r="251" spans="1:14" ht="15.75" customHeight="1" x14ac:dyDescent="0.3">
      <c r="A251" s="10" t="s">
        <v>398</v>
      </c>
      <c r="B251" s="15">
        <v>45642</v>
      </c>
      <c r="C251" s="12" t="s">
        <v>138</v>
      </c>
      <c r="D251" s="12" t="s">
        <v>139</v>
      </c>
      <c r="E251" s="12" t="s">
        <v>117</v>
      </c>
      <c r="F251" s="12" t="s">
        <v>118</v>
      </c>
      <c r="G251" s="12" t="s">
        <v>19</v>
      </c>
      <c r="H251" s="12">
        <v>3</v>
      </c>
      <c r="I251" s="12">
        <v>89.99</v>
      </c>
      <c r="J251" s="12" t="s">
        <v>57</v>
      </c>
      <c r="K251" s="12" t="s">
        <v>40</v>
      </c>
      <c r="L251" s="12" t="s">
        <v>27</v>
      </c>
      <c r="M251" s="11">
        <v>44878</v>
      </c>
      <c r="N251" s="13">
        <v>269.97000000000003</v>
      </c>
    </row>
    <row r="252" spans="1:14" ht="15.75" customHeight="1" x14ac:dyDescent="0.3"/>
    <row r="253" spans="1:14" ht="15.75" customHeight="1" x14ac:dyDescent="0.3"/>
    <row r="254" spans="1:14" ht="15.75" customHeight="1" x14ac:dyDescent="0.3"/>
    <row r="255" spans="1:14" ht="15.75" customHeight="1" x14ac:dyDescent="0.3"/>
    <row r="256" spans="1: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888A7-9E6F-4D67-B5D9-3A5EB6810165}">
  <dimension ref="A1:E251"/>
  <sheetViews>
    <sheetView zoomScale="130" zoomScaleNormal="130" workbookViewId="0">
      <selection activeCell="D9" sqref="D9"/>
    </sheetView>
  </sheetViews>
  <sheetFormatPr defaultRowHeight="14.4" x14ac:dyDescent="0.3"/>
  <cols>
    <col min="1" max="1" width="15.21875" customWidth="1"/>
    <col min="2" max="2" width="10.77734375" style="17" bestFit="1" customWidth="1"/>
    <col min="3" max="3" width="21.109375" style="18" bestFit="1" customWidth="1"/>
    <col min="4" max="4" width="10.5546875" style="17" bestFit="1" customWidth="1"/>
    <col min="5" max="5" width="16.109375" bestFit="1" customWidth="1"/>
  </cols>
  <sheetData>
    <row r="1" spans="1:5" x14ac:dyDescent="0.3">
      <c r="A1" s="21" t="s">
        <v>0</v>
      </c>
      <c r="B1" s="22" t="s">
        <v>1</v>
      </c>
      <c r="C1" s="23" t="s">
        <v>399</v>
      </c>
      <c r="D1" s="22" t="s">
        <v>400</v>
      </c>
      <c r="E1" s="21" t="s">
        <v>401</v>
      </c>
    </row>
    <row r="2" spans="1:5" x14ac:dyDescent="0.3">
      <c r="A2" s="14" t="str" cm="1">
        <f t="array" ref="A2:A251">Table1[Transaction_ID]</f>
        <v>TRX0155</v>
      </c>
      <c r="B2" s="16" cm="1">
        <f t="array" ref="B2:B251">Table1[Date]</f>
        <v>45393</v>
      </c>
      <c r="C2" s="19">
        <f ca="1">TODAY()-B2</f>
        <v>705</v>
      </c>
      <c r="D2" s="16">
        <f>EOMONTH(B2,0)</f>
        <v>45412</v>
      </c>
      <c r="E2" s="20">
        <f ca="1">NOW()</f>
        <v>46098.776940509262</v>
      </c>
    </row>
    <row r="3" spans="1:5" x14ac:dyDescent="0.3">
      <c r="A3" s="14" t="str">
        <v>TRX0023</v>
      </c>
      <c r="B3" s="16">
        <v>45394</v>
      </c>
      <c r="C3" s="19">
        <f t="shared" ref="C3:C66" ca="1" si="0">TODAY()-B3</f>
        <v>704</v>
      </c>
      <c r="D3" s="16">
        <f t="shared" ref="D3:D66" si="1">EOMONTH(B3,0)</f>
        <v>45412</v>
      </c>
      <c r="E3" s="20">
        <f t="shared" ref="E3:E66" ca="1" si="2">NOW()</f>
        <v>46098.776940509262</v>
      </c>
    </row>
    <row r="4" spans="1:5" x14ac:dyDescent="0.3">
      <c r="A4" s="14" t="str">
        <v>TRX0139</v>
      </c>
      <c r="B4" s="16">
        <v>45395</v>
      </c>
      <c r="C4" s="19">
        <f t="shared" ca="1" si="0"/>
        <v>703</v>
      </c>
      <c r="D4" s="16">
        <f t="shared" si="1"/>
        <v>45412</v>
      </c>
      <c r="E4" s="20">
        <f t="shared" ca="1" si="2"/>
        <v>46098.776940509262</v>
      </c>
    </row>
    <row r="5" spans="1:5" x14ac:dyDescent="0.3">
      <c r="A5" s="14" t="str">
        <v>TRX0043</v>
      </c>
      <c r="B5" s="16">
        <v>45396</v>
      </c>
      <c r="C5" s="19">
        <f t="shared" ca="1" si="0"/>
        <v>702</v>
      </c>
      <c r="D5" s="16">
        <f t="shared" si="1"/>
        <v>45412</v>
      </c>
      <c r="E5" s="20">
        <f t="shared" ca="1" si="2"/>
        <v>46098.776940509262</v>
      </c>
    </row>
    <row r="6" spans="1:5" x14ac:dyDescent="0.3">
      <c r="A6" s="14" t="str">
        <v>TRX0212</v>
      </c>
      <c r="B6" s="16">
        <v>45397</v>
      </c>
      <c r="C6" s="19">
        <f t="shared" ca="1" si="0"/>
        <v>701</v>
      </c>
      <c r="D6" s="16">
        <f t="shared" si="1"/>
        <v>45412</v>
      </c>
      <c r="E6" s="20">
        <f t="shared" ca="1" si="2"/>
        <v>46098.776940509262</v>
      </c>
    </row>
    <row r="7" spans="1:5" x14ac:dyDescent="0.3">
      <c r="A7" s="14" t="str">
        <v>TRX0092</v>
      </c>
      <c r="B7" s="16">
        <v>45398</v>
      </c>
      <c r="C7" s="19">
        <f t="shared" ca="1" si="0"/>
        <v>700</v>
      </c>
      <c r="D7" s="16">
        <f t="shared" si="1"/>
        <v>45412</v>
      </c>
      <c r="E7" s="20">
        <f t="shared" ca="1" si="2"/>
        <v>46098.776940509262</v>
      </c>
    </row>
    <row r="8" spans="1:5" x14ac:dyDescent="0.3">
      <c r="A8" s="14" t="str">
        <v>TRX0193</v>
      </c>
      <c r="B8" s="16">
        <v>45399</v>
      </c>
      <c r="C8" s="19">
        <f t="shared" ca="1" si="0"/>
        <v>699</v>
      </c>
      <c r="D8" s="16">
        <f t="shared" si="1"/>
        <v>45412</v>
      </c>
      <c r="E8" s="20">
        <f t="shared" ca="1" si="2"/>
        <v>46098.776940509262</v>
      </c>
    </row>
    <row r="9" spans="1:5" x14ac:dyDescent="0.3">
      <c r="A9" s="14" t="str">
        <v>TRX0240</v>
      </c>
      <c r="B9" s="16">
        <v>45400</v>
      </c>
      <c r="C9" s="19">
        <f t="shared" ca="1" si="0"/>
        <v>698</v>
      </c>
      <c r="D9" s="16">
        <f t="shared" si="1"/>
        <v>45412</v>
      </c>
      <c r="E9" s="20">
        <f t="shared" ca="1" si="2"/>
        <v>46098.776940509262</v>
      </c>
    </row>
    <row r="10" spans="1:5" x14ac:dyDescent="0.3">
      <c r="A10" s="14" t="str">
        <v>TRX0135</v>
      </c>
      <c r="B10" s="16">
        <v>45401</v>
      </c>
      <c r="C10" s="19">
        <f t="shared" ca="1" si="0"/>
        <v>697</v>
      </c>
      <c r="D10" s="16">
        <f t="shared" si="1"/>
        <v>45412</v>
      </c>
      <c r="E10" s="20">
        <f t="shared" ca="1" si="2"/>
        <v>46098.776940509262</v>
      </c>
    </row>
    <row r="11" spans="1:5" x14ac:dyDescent="0.3">
      <c r="A11" s="14" t="str">
        <v>TRX0185</v>
      </c>
      <c r="B11" s="16">
        <v>45402</v>
      </c>
      <c r="C11" s="19">
        <f t="shared" ca="1" si="0"/>
        <v>696</v>
      </c>
      <c r="D11" s="16">
        <f t="shared" si="1"/>
        <v>45412</v>
      </c>
      <c r="E11" s="20">
        <f t="shared" ca="1" si="2"/>
        <v>46098.776940509262</v>
      </c>
    </row>
    <row r="12" spans="1:5" x14ac:dyDescent="0.3">
      <c r="A12" s="14" t="str">
        <v>TRX0138</v>
      </c>
      <c r="B12" s="16">
        <v>45403</v>
      </c>
      <c r="C12" s="19">
        <f t="shared" ca="1" si="0"/>
        <v>695</v>
      </c>
      <c r="D12" s="16">
        <f t="shared" si="1"/>
        <v>45412</v>
      </c>
      <c r="E12" s="20">
        <f t="shared" ca="1" si="2"/>
        <v>46098.776940509262</v>
      </c>
    </row>
    <row r="13" spans="1:5" x14ac:dyDescent="0.3">
      <c r="A13" s="14" t="str">
        <v>TRX0209</v>
      </c>
      <c r="B13" s="16">
        <v>45404</v>
      </c>
      <c r="C13" s="19">
        <f t="shared" ca="1" si="0"/>
        <v>694</v>
      </c>
      <c r="D13" s="16">
        <f t="shared" si="1"/>
        <v>45412</v>
      </c>
      <c r="E13" s="20">
        <f t="shared" ca="1" si="2"/>
        <v>46098.776940509262</v>
      </c>
    </row>
    <row r="14" spans="1:5" x14ac:dyDescent="0.3">
      <c r="A14" s="14" t="str">
        <v>TRX0246</v>
      </c>
      <c r="B14" s="16">
        <v>45405</v>
      </c>
      <c r="C14" s="19">
        <f t="shared" ca="1" si="0"/>
        <v>693</v>
      </c>
      <c r="D14" s="16">
        <f t="shared" si="1"/>
        <v>45412</v>
      </c>
      <c r="E14" s="20">
        <f t="shared" ca="1" si="2"/>
        <v>46098.776940509262</v>
      </c>
    </row>
    <row r="15" spans="1:5" x14ac:dyDescent="0.3">
      <c r="A15" s="14" t="str">
        <v>TRX0067</v>
      </c>
      <c r="B15" s="16">
        <v>45406</v>
      </c>
      <c r="C15" s="19">
        <f t="shared" ca="1" si="0"/>
        <v>692</v>
      </c>
      <c r="D15" s="16">
        <f t="shared" si="1"/>
        <v>45412</v>
      </c>
      <c r="E15" s="20">
        <f t="shared" ca="1" si="2"/>
        <v>46098.776940509262</v>
      </c>
    </row>
    <row r="16" spans="1:5" x14ac:dyDescent="0.3">
      <c r="A16" s="14" t="str">
        <v>TRX0191</v>
      </c>
      <c r="B16" s="16">
        <v>45407</v>
      </c>
      <c r="C16" s="19">
        <f t="shared" ca="1" si="0"/>
        <v>691</v>
      </c>
      <c r="D16" s="16">
        <f t="shared" si="1"/>
        <v>45412</v>
      </c>
      <c r="E16" s="20">
        <f t="shared" ca="1" si="2"/>
        <v>46098.776940509262</v>
      </c>
    </row>
    <row r="17" spans="1:5" x14ac:dyDescent="0.3">
      <c r="A17" s="14" t="str">
        <v>TRX0230</v>
      </c>
      <c r="B17" s="16">
        <v>45408</v>
      </c>
      <c r="C17" s="19">
        <f t="shared" ca="1" si="0"/>
        <v>690</v>
      </c>
      <c r="D17" s="16">
        <f t="shared" si="1"/>
        <v>45412</v>
      </c>
      <c r="E17" s="20">
        <f t="shared" ca="1" si="2"/>
        <v>46098.776940509262</v>
      </c>
    </row>
    <row r="18" spans="1:5" x14ac:dyDescent="0.3">
      <c r="A18" s="14" t="str">
        <v>TRX0049</v>
      </c>
      <c r="B18" s="16">
        <v>45409</v>
      </c>
      <c r="C18" s="19">
        <f t="shared" ca="1" si="0"/>
        <v>689</v>
      </c>
      <c r="D18" s="16">
        <f t="shared" si="1"/>
        <v>45412</v>
      </c>
      <c r="E18" s="20">
        <f t="shared" ca="1" si="2"/>
        <v>46098.776940509262</v>
      </c>
    </row>
    <row r="19" spans="1:5" x14ac:dyDescent="0.3">
      <c r="A19" s="14" t="str">
        <v>TRX0134</v>
      </c>
      <c r="B19" s="16">
        <v>45410</v>
      </c>
      <c r="C19" s="19">
        <f t="shared" ca="1" si="0"/>
        <v>688</v>
      </c>
      <c r="D19" s="16">
        <f t="shared" si="1"/>
        <v>45412</v>
      </c>
      <c r="E19" s="20">
        <f t="shared" ca="1" si="2"/>
        <v>46098.776940509262</v>
      </c>
    </row>
    <row r="20" spans="1:5" x14ac:dyDescent="0.3">
      <c r="A20" s="14" t="str">
        <v>TRX0122</v>
      </c>
      <c r="B20" s="16">
        <v>45411</v>
      </c>
      <c r="C20" s="19">
        <f t="shared" ca="1" si="0"/>
        <v>687</v>
      </c>
      <c r="D20" s="16">
        <f t="shared" si="1"/>
        <v>45412</v>
      </c>
      <c r="E20" s="20">
        <f t="shared" ca="1" si="2"/>
        <v>46098.776940509262</v>
      </c>
    </row>
    <row r="21" spans="1:5" x14ac:dyDescent="0.3">
      <c r="A21" s="14" t="str">
        <v>TRX0222</v>
      </c>
      <c r="B21" s="16">
        <v>45412</v>
      </c>
      <c r="C21" s="19">
        <f t="shared" ca="1" si="0"/>
        <v>686</v>
      </c>
      <c r="D21" s="16">
        <f t="shared" si="1"/>
        <v>45412</v>
      </c>
      <c r="E21" s="20">
        <f t="shared" ca="1" si="2"/>
        <v>46098.776940509262</v>
      </c>
    </row>
    <row r="22" spans="1:5" x14ac:dyDescent="0.3">
      <c r="A22" s="14" t="str">
        <v>TRX0231</v>
      </c>
      <c r="B22" s="16">
        <v>45413</v>
      </c>
      <c r="C22" s="19">
        <f t="shared" ca="1" si="0"/>
        <v>685</v>
      </c>
      <c r="D22" s="16">
        <f t="shared" si="1"/>
        <v>45443</v>
      </c>
      <c r="E22" s="20">
        <f t="shared" ca="1" si="2"/>
        <v>46098.776940509262</v>
      </c>
    </row>
    <row r="23" spans="1:5" x14ac:dyDescent="0.3">
      <c r="A23" s="14" t="str">
        <v>TRX0239</v>
      </c>
      <c r="B23" s="16">
        <v>45414</v>
      </c>
      <c r="C23" s="19">
        <f t="shared" ca="1" si="0"/>
        <v>684</v>
      </c>
      <c r="D23" s="16">
        <f t="shared" si="1"/>
        <v>45443</v>
      </c>
      <c r="E23" s="20">
        <f t="shared" ca="1" si="2"/>
        <v>46098.776940509262</v>
      </c>
    </row>
    <row r="24" spans="1:5" x14ac:dyDescent="0.3">
      <c r="A24" s="14" t="str">
        <v>TRX0204</v>
      </c>
      <c r="B24" s="16">
        <v>45415</v>
      </c>
      <c r="C24" s="19">
        <f t="shared" ca="1" si="0"/>
        <v>683</v>
      </c>
      <c r="D24" s="16">
        <f t="shared" si="1"/>
        <v>45443</v>
      </c>
      <c r="E24" s="20">
        <f t="shared" ca="1" si="2"/>
        <v>46098.776940509262</v>
      </c>
    </row>
    <row r="25" spans="1:5" x14ac:dyDescent="0.3">
      <c r="A25" s="14" t="str">
        <v>TRX0242</v>
      </c>
      <c r="B25" s="16">
        <v>45416</v>
      </c>
      <c r="C25" s="19">
        <f t="shared" ca="1" si="0"/>
        <v>682</v>
      </c>
      <c r="D25" s="16">
        <f t="shared" si="1"/>
        <v>45443</v>
      </c>
      <c r="E25" s="20">
        <f t="shared" ca="1" si="2"/>
        <v>46098.776940509262</v>
      </c>
    </row>
    <row r="26" spans="1:5" x14ac:dyDescent="0.3">
      <c r="A26" s="14" t="str">
        <v>TRX0071</v>
      </c>
      <c r="B26" s="16">
        <v>45417</v>
      </c>
      <c r="C26" s="19">
        <f t="shared" ca="1" si="0"/>
        <v>681</v>
      </c>
      <c r="D26" s="16">
        <f t="shared" si="1"/>
        <v>45443</v>
      </c>
      <c r="E26" s="20">
        <f t="shared" ca="1" si="2"/>
        <v>46098.776940509262</v>
      </c>
    </row>
    <row r="27" spans="1:5" x14ac:dyDescent="0.3">
      <c r="A27" s="14" t="str">
        <v>TRX0040</v>
      </c>
      <c r="B27" s="16">
        <v>45418</v>
      </c>
      <c r="C27" s="19">
        <f t="shared" ca="1" si="0"/>
        <v>680</v>
      </c>
      <c r="D27" s="16">
        <f t="shared" si="1"/>
        <v>45443</v>
      </c>
      <c r="E27" s="20">
        <f t="shared" ca="1" si="2"/>
        <v>46098.776940509262</v>
      </c>
    </row>
    <row r="28" spans="1:5" x14ac:dyDescent="0.3">
      <c r="A28" s="14" t="str">
        <v>TRX0235</v>
      </c>
      <c r="B28" s="16">
        <v>45419</v>
      </c>
      <c r="C28" s="19">
        <f t="shared" ca="1" si="0"/>
        <v>679</v>
      </c>
      <c r="D28" s="16">
        <f t="shared" si="1"/>
        <v>45443</v>
      </c>
      <c r="E28" s="20">
        <f t="shared" ca="1" si="2"/>
        <v>46098.776940509262</v>
      </c>
    </row>
    <row r="29" spans="1:5" x14ac:dyDescent="0.3">
      <c r="A29" s="14" t="str">
        <v>TRX0004</v>
      </c>
      <c r="B29" s="16">
        <v>45420</v>
      </c>
      <c r="C29" s="19">
        <f t="shared" ca="1" si="0"/>
        <v>678</v>
      </c>
      <c r="D29" s="16">
        <f t="shared" si="1"/>
        <v>45443</v>
      </c>
      <c r="E29" s="20">
        <f t="shared" ca="1" si="2"/>
        <v>46098.776940509262</v>
      </c>
    </row>
    <row r="30" spans="1:5" x14ac:dyDescent="0.3">
      <c r="A30" s="14" t="str">
        <v>TRX0063</v>
      </c>
      <c r="B30" s="16">
        <v>45421</v>
      </c>
      <c r="C30" s="19">
        <f t="shared" ca="1" si="0"/>
        <v>677</v>
      </c>
      <c r="D30" s="16">
        <f t="shared" si="1"/>
        <v>45443</v>
      </c>
      <c r="E30" s="20">
        <f t="shared" ca="1" si="2"/>
        <v>46098.776940509262</v>
      </c>
    </row>
    <row r="31" spans="1:5" x14ac:dyDescent="0.3">
      <c r="A31" s="14" t="str">
        <v>TRX0241</v>
      </c>
      <c r="B31" s="16">
        <v>45422</v>
      </c>
      <c r="C31" s="19">
        <f t="shared" ca="1" si="0"/>
        <v>676</v>
      </c>
      <c r="D31" s="16">
        <f t="shared" si="1"/>
        <v>45443</v>
      </c>
      <c r="E31" s="20">
        <f t="shared" ca="1" si="2"/>
        <v>46098.776940509262</v>
      </c>
    </row>
    <row r="32" spans="1:5" x14ac:dyDescent="0.3">
      <c r="A32" s="14" t="str">
        <v>TRX0029</v>
      </c>
      <c r="B32" s="16">
        <v>45423</v>
      </c>
      <c r="C32" s="19">
        <f t="shared" ca="1" si="0"/>
        <v>675</v>
      </c>
      <c r="D32" s="16">
        <f t="shared" si="1"/>
        <v>45443</v>
      </c>
      <c r="E32" s="20">
        <f t="shared" ca="1" si="2"/>
        <v>46098.776940509262</v>
      </c>
    </row>
    <row r="33" spans="1:5" x14ac:dyDescent="0.3">
      <c r="A33" s="14" t="str">
        <v>TRX0194</v>
      </c>
      <c r="B33" s="16">
        <v>45424</v>
      </c>
      <c r="C33" s="19">
        <f t="shared" ca="1" si="0"/>
        <v>674</v>
      </c>
      <c r="D33" s="16">
        <f t="shared" si="1"/>
        <v>45443</v>
      </c>
      <c r="E33" s="20">
        <f t="shared" ca="1" si="2"/>
        <v>46098.776940509262</v>
      </c>
    </row>
    <row r="34" spans="1:5" x14ac:dyDescent="0.3">
      <c r="A34" s="14" t="str">
        <v>TRX0130</v>
      </c>
      <c r="B34" s="16">
        <v>45425</v>
      </c>
      <c r="C34" s="19">
        <f t="shared" ca="1" si="0"/>
        <v>673</v>
      </c>
      <c r="D34" s="16">
        <f t="shared" si="1"/>
        <v>45443</v>
      </c>
      <c r="E34" s="20">
        <f t="shared" ca="1" si="2"/>
        <v>46098.776940509262</v>
      </c>
    </row>
    <row r="35" spans="1:5" x14ac:dyDescent="0.3">
      <c r="A35" s="14" t="str">
        <v>TRX0041</v>
      </c>
      <c r="B35" s="16">
        <v>45426</v>
      </c>
      <c r="C35" s="19">
        <f t="shared" ca="1" si="0"/>
        <v>672</v>
      </c>
      <c r="D35" s="16">
        <f t="shared" si="1"/>
        <v>45443</v>
      </c>
      <c r="E35" s="20">
        <f t="shared" ca="1" si="2"/>
        <v>46098.776940509262</v>
      </c>
    </row>
    <row r="36" spans="1:5" x14ac:dyDescent="0.3">
      <c r="A36" s="14" t="str">
        <v>TRX0232</v>
      </c>
      <c r="B36" s="16">
        <v>45427</v>
      </c>
      <c r="C36" s="19">
        <f t="shared" ca="1" si="0"/>
        <v>671</v>
      </c>
      <c r="D36" s="16">
        <f t="shared" si="1"/>
        <v>45443</v>
      </c>
      <c r="E36" s="20">
        <f t="shared" ca="1" si="2"/>
        <v>46098.776940509262</v>
      </c>
    </row>
    <row r="37" spans="1:5" x14ac:dyDescent="0.3">
      <c r="A37" s="14" t="str">
        <v>TRX0021</v>
      </c>
      <c r="B37" s="16">
        <v>45428</v>
      </c>
      <c r="C37" s="19">
        <f t="shared" ca="1" si="0"/>
        <v>670</v>
      </c>
      <c r="D37" s="16">
        <f t="shared" si="1"/>
        <v>45443</v>
      </c>
      <c r="E37" s="20">
        <f t="shared" ca="1" si="2"/>
        <v>46098.776940509262</v>
      </c>
    </row>
    <row r="38" spans="1:5" x14ac:dyDescent="0.3">
      <c r="A38" s="14" t="str">
        <v>TRX0245</v>
      </c>
      <c r="B38" s="16">
        <v>45429</v>
      </c>
      <c r="C38" s="19">
        <f t="shared" ca="1" si="0"/>
        <v>669</v>
      </c>
      <c r="D38" s="16">
        <f t="shared" si="1"/>
        <v>45443</v>
      </c>
      <c r="E38" s="20">
        <f t="shared" ca="1" si="2"/>
        <v>46098.776940509262</v>
      </c>
    </row>
    <row r="39" spans="1:5" x14ac:dyDescent="0.3">
      <c r="A39" s="14" t="str">
        <v>TRX0015</v>
      </c>
      <c r="B39" s="16">
        <v>45430</v>
      </c>
      <c r="C39" s="19">
        <f t="shared" ca="1" si="0"/>
        <v>668</v>
      </c>
      <c r="D39" s="16">
        <f t="shared" si="1"/>
        <v>45443</v>
      </c>
      <c r="E39" s="20">
        <f t="shared" ca="1" si="2"/>
        <v>46098.776940509262</v>
      </c>
    </row>
    <row r="40" spans="1:5" x14ac:dyDescent="0.3">
      <c r="A40" s="14" t="str">
        <v>TRX0202</v>
      </c>
      <c r="B40" s="16">
        <v>45431</v>
      </c>
      <c r="C40" s="19">
        <f t="shared" ca="1" si="0"/>
        <v>667</v>
      </c>
      <c r="D40" s="16">
        <f t="shared" si="1"/>
        <v>45443</v>
      </c>
      <c r="E40" s="20">
        <f t="shared" ca="1" si="2"/>
        <v>46098.776940509262</v>
      </c>
    </row>
    <row r="41" spans="1:5" x14ac:dyDescent="0.3">
      <c r="A41" s="14" t="str">
        <v>TRX0042</v>
      </c>
      <c r="B41" s="16">
        <v>45432</v>
      </c>
      <c r="C41" s="19">
        <f t="shared" ca="1" si="0"/>
        <v>666</v>
      </c>
      <c r="D41" s="16">
        <f t="shared" si="1"/>
        <v>45443</v>
      </c>
      <c r="E41" s="20">
        <f t="shared" ca="1" si="2"/>
        <v>46098.776940509262</v>
      </c>
    </row>
    <row r="42" spans="1:5" x14ac:dyDescent="0.3">
      <c r="A42" s="14" t="str">
        <v>TRX0128</v>
      </c>
      <c r="B42" s="16">
        <v>45433</v>
      </c>
      <c r="C42" s="19">
        <f t="shared" ca="1" si="0"/>
        <v>665</v>
      </c>
      <c r="D42" s="16">
        <f t="shared" si="1"/>
        <v>45443</v>
      </c>
      <c r="E42" s="20">
        <f t="shared" ca="1" si="2"/>
        <v>46098.776940509262</v>
      </c>
    </row>
    <row r="43" spans="1:5" x14ac:dyDescent="0.3">
      <c r="A43" s="14" t="str">
        <v>TRX0117</v>
      </c>
      <c r="B43" s="16">
        <v>45434</v>
      </c>
      <c r="C43" s="19">
        <f t="shared" ca="1" si="0"/>
        <v>664</v>
      </c>
      <c r="D43" s="16">
        <f t="shared" si="1"/>
        <v>45443</v>
      </c>
      <c r="E43" s="20">
        <f t="shared" ca="1" si="2"/>
        <v>46098.776940509262</v>
      </c>
    </row>
    <row r="44" spans="1:5" x14ac:dyDescent="0.3">
      <c r="A44" s="14" t="str">
        <v>TRX0208</v>
      </c>
      <c r="B44" s="16">
        <v>45435</v>
      </c>
      <c r="C44" s="19">
        <f t="shared" ca="1" si="0"/>
        <v>663</v>
      </c>
      <c r="D44" s="16">
        <f t="shared" si="1"/>
        <v>45443</v>
      </c>
      <c r="E44" s="20">
        <f t="shared" ca="1" si="2"/>
        <v>46098.776940509262</v>
      </c>
    </row>
    <row r="45" spans="1:5" x14ac:dyDescent="0.3">
      <c r="A45" s="14" t="str">
        <v>TRX0234</v>
      </c>
      <c r="B45" s="16">
        <v>45436</v>
      </c>
      <c r="C45" s="19">
        <f t="shared" ca="1" si="0"/>
        <v>662</v>
      </c>
      <c r="D45" s="16">
        <f t="shared" si="1"/>
        <v>45443</v>
      </c>
      <c r="E45" s="20">
        <f t="shared" ca="1" si="2"/>
        <v>46098.776940509262</v>
      </c>
    </row>
    <row r="46" spans="1:5" x14ac:dyDescent="0.3">
      <c r="A46" s="14" t="str">
        <v>TRX0121</v>
      </c>
      <c r="B46" s="16">
        <v>45437</v>
      </c>
      <c r="C46" s="19">
        <f t="shared" ca="1" si="0"/>
        <v>661</v>
      </c>
      <c r="D46" s="16">
        <f t="shared" si="1"/>
        <v>45443</v>
      </c>
      <c r="E46" s="20">
        <f t="shared" ca="1" si="2"/>
        <v>46098.776940509262</v>
      </c>
    </row>
    <row r="47" spans="1:5" x14ac:dyDescent="0.3">
      <c r="A47" s="14" t="str">
        <v>TRX0220</v>
      </c>
      <c r="B47" s="16">
        <v>45438</v>
      </c>
      <c r="C47" s="19">
        <f t="shared" ca="1" si="0"/>
        <v>660</v>
      </c>
      <c r="D47" s="16">
        <f t="shared" si="1"/>
        <v>45443</v>
      </c>
      <c r="E47" s="20">
        <f t="shared" ca="1" si="2"/>
        <v>46098.776940509262</v>
      </c>
    </row>
    <row r="48" spans="1:5" x14ac:dyDescent="0.3">
      <c r="A48" s="14" t="str">
        <v>TRX0093</v>
      </c>
      <c r="B48" s="16">
        <v>45439</v>
      </c>
      <c r="C48" s="19">
        <f t="shared" ca="1" si="0"/>
        <v>659</v>
      </c>
      <c r="D48" s="16">
        <f t="shared" si="1"/>
        <v>45443</v>
      </c>
      <c r="E48" s="20">
        <f t="shared" ca="1" si="2"/>
        <v>46098.776940509262</v>
      </c>
    </row>
    <row r="49" spans="1:5" x14ac:dyDescent="0.3">
      <c r="A49" s="14" t="str">
        <v>TRX0088</v>
      </c>
      <c r="B49" s="16">
        <v>45440</v>
      </c>
      <c r="C49" s="19">
        <f t="shared" ca="1" si="0"/>
        <v>658</v>
      </c>
      <c r="D49" s="16">
        <f t="shared" si="1"/>
        <v>45443</v>
      </c>
      <c r="E49" s="20">
        <f t="shared" ca="1" si="2"/>
        <v>46098.776940509262</v>
      </c>
    </row>
    <row r="50" spans="1:5" x14ac:dyDescent="0.3">
      <c r="A50" s="14" t="str">
        <v>TRX0115</v>
      </c>
      <c r="B50" s="16">
        <v>45441</v>
      </c>
      <c r="C50" s="19">
        <f t="shared" ca="1" si="0"/>
        <v>657</v>
      </c>
      <c r="D50" s="16">
        <f t="shared" si="1"/>
        <v>45443</v>
      </c>
      <c r="E50" s="20">
        <f t="shared" ca="1" si="2"/>
        <v>46098.776940509262</v>
      </c>
    </row>
    <row r="51" spans="1:5" x14ac:dyDescent="0.3">
      <c r="A51" s="14" t="str">
        <v>TRX0154</v>
      </c>
      <c r="B51" s="16">
        <v>45442</v>
      </c>
      <c r="C51" s="19">
        <f t="shared" ca="1" si="0"/>
        <v>656</v>
      </c>
      <c r="D51" s="16">
        <f t="shared" si="1"/>
        <v>45443</v>
      </c>
      <c r="E51" s="20">
        <f t="shared" ca="1" si="2"/>
        <v>46098.776940509262</v>
      </c>
    </row>
    <row r="52" spans="1:5" x14ac:dyDescent="0.3">
      <c r="A52" s="14" t="str">
        <v>TRX0044</v>
      </c>
      <c r="B52" s="16">
        <v>45443</v>
      </c>
      <c r="C52" s="19">
        <f t="shared" ca="1" si="0"/>
        <v>655</v>
      </c>
      <c r="D52" s="16">
        <f t="shared" si="1"/>
        <v>45443</v>
      </c>
      <c r="E52" s="20">
        <f t="shared" ca="1" si="2"/>
        <v>46098.776940509262</v>
      </c>
    </row>
    <row r="53" spans="1:5" x14ac:dyDescent="0.3">
      <c r="A53" s="14" t="str">
        <v>TRX0061</v>
      </c>
      <c r="B53" s="16">
        <v>45444</v>
      </c>
      <c r="C53" s="19">
        <f t="shared" ca="1" si="0"/>
        <v>654</v>
      </c>
      <c r="D53" s="16">
        <f t="shared" si="1"/>
        <v>45473</v>
      </c>
      <c r="E53" s="20">
        <f t="shared" ca="1" si="2"/>
        <v>46098.776940509262</v>
      </c>
    </row>
    <row r="54" spans="1:5" x14ac:dyDescent="0.3">
      <c r="A54" s="14" t="str">
        <v>TRX0150</v>
      </c>
      <c r="B54" s="16">
        <v>45445</v>
      </c>
      <c r="C54" s="19">
        <f t="shared" ca="1" si="0"/>
        <v>653</v>
      </c>
      <c r="D54" s="16">
        <f t="shared" si="1"/>
        <v>45473</v>
      </c>
      <c r="E54" s="20">
        <f t="shared" ca="1" si="2"/>
        <v>46098.776940509262</v>
      </c>
    </row>
    <row r="55" spans="1:5" x14ac:dyDescent="0.3">
      <c r="A55" s="14" t="str">
        <v>TRX0025</v>
      </c>
      <c r="B55" s="16">
        <v>45446</v>
      </c>
      <c r="C55" s="19">
        <f t="shared" ca="1" si="0"/>
        <v>652</v>
      </c>
      <c r="D55" s="16">
        <f t="shared" si="1"/>
        <v>45473</v>
      </c>
      <c r="E55" s="20">
        <f t="shared" ca="1" si="2"/>
        <v>46098.776940509262</v>
      </c>
    </row>
    <row r="56" spans="1:5" x14ac:dyDescent="0.3">
      <c r="A56" s="14" t="str">
        <v>TRX0078</v>
      </c>
      <c r="B56" s="16">
        <v>45447</v>
      </c>
      <c r="C56" s="19">
        <f t="shared" ca="1" si="0"/>
        <v>651</v>
      </c>
      <c r="D56" s="16">
        <f t="shared" si="1"/>
        <v>45473</v>
      </c>
      <c r="E56" s="20">
        <f t="shared" ca="1" si="2"/>
        <v>46098.776940509262</v>
      </c>
    </row>
    <row r="57" spans="1:5" x14ac:dyDescent="0.3">
      <c r="A57" s="14" t="str">
        <v>TRX0007</v>
      </c>
      <c r="B57" s="16">
        <v>45448</v>
      </c>
      <c r="C57" s="19">
        <f t="shared" ca="1" si="0"/>
        <v>650</v>
      </c>
      <c r="D57" s="16">
        <f t="shared" si="1"/>
        <v>45473</v>
      </c>
      <c r="E57" s="20">
        <f t="shared" ca="1" si="2"/>
        <v>46098.776940509262</v>
      </c>
    </row>
    <row r="58" spans="1:5" x14ac:dyDescent="0.3">
      <c r="A58" s="14" t="str">
        <v>TRX0184</v>
      </c>
      <c r="B58" s="16">
        <v>45449</v>
      </c>
      <c r="C58" s="19">
        <f t="shared" ca="1" si="0"/>
        <v>649</v>
      </c>
      <c r="D58" s="16">
        <f t="shared" si="1"/>
        <v>45473</v>
      </c>
      <c r="E58" s="20">
        <f t="shared" ca="1" si="2"/>
        <v>46098.776940509262</v>
      </c>
    </row>
    <row r="59" spans="1:5" x14ac:dyDescent="0.3">
      <c r="A59" s="14" t="str">
        <v>TRX0104</v>
      </c>
      <c r="B59" s="16">
        <v>45450</v>
      </c>
      <c r="C59" s="19">
        <f t="shared" ca="1" si="0"/>
        <v>648</v>
      </c>
      <c r="D59" s="16">
        <f t="shared" si="1"/>
        <v>45473</v>
      </c>
      <c r="E59" s="20">
        <f t="shared" ca="1" si="2"/>
        <v>46098.776940509262</v>
      </c>
    </row>
    <row r="60" spans="1:5" x14ac:dyDescent="0.3">
      <c r="A60" s="14" t="str">
        <v>TRX0127</v>
      </c>
      <c r="B60" s="16">
        <v>45451</v>
      </c>
      <c r="C60" s="19">
        <f t="shared" ca="1" si="0"/>
        <v>647</v>
      </c>
      <c r="D60" s="16">
        <f t="shared" si="1"/>
        <v>45473</v>
      </c>
      <c r="E60" s="20">
        <f t="shared" ca="1" si="2"/>
        <v>46098.776940509262</v>
      </c>
    </row>
    <row r="61" spans="1:5" x14ac:dyDescent="0.3">
      <c r="A61" s="14" t="str">
        <v>TRX0096</v>
      </c>
      <c r="B61" s="16">
        <v>45452</v>
      </c>
      <c r="C61" s="19">
        <f t="shared" ca="1" si="0"/>
        <v>646</v>
      </c>
      <c r="D61" s="16">
        <f t="shared" si="1"/>
        <v>45473</v>
      </c>
      <c r="E61" s="20">
        <f t="shared" ca="1" si="2"/>
        <v>46098.776940509262</v>
      </c>
    </row>
    <row r="62" spans="1:5" x14ac:dyDescent="0.3">
      <c r="A62" s="14" t="str">
        <v>TRX0192</v>
      </c>
      <c r="B62" s="16">
        <v>45453</v>
      </c>
      <c r="C62" s="19">
        <f t="shared" ca="1" si="0"/>
        <v>645</v>
      </c>
      <c r="D62" s="16">
        <f t="shared" si="1"/>
        <v>45473</v>
      </c>
      <c r="E62" s="20">
        <f t="shared" ca="1" si="2"/>
        <v>46098.776940509262</v>
      </c>
    </row>
    <row r="63" spans="1:5" x14ac:dyDescent="0.3">
      <c r="A63" s="14" t="str">
        <v>TRX0052</v>
      </c>
      <c r="B63" s="16">
        <v>45454</v>
      </c>
      <c r="C63" s="19">
        <f t="shared" ca="1" si="0"/>
        <v>644</v>
      </c>
      <c r="D63" s="16">
        <f t="shared" si="1"/>
        <v>45473</v>
      </c>
      <c r="E63" s="20">
        <f t="shared" ca="1" si="2"/>
        <v>46098.776940509262</v>
      </c>
    </row>
    <row r="64" spans="1:5" x14ac:dyDescent="0.3">
      <c r="A64" s="14" t="str">
        <v>TRX0070</v>
      </c>
      <c r="B64" s="16">
        <v>45455</v>
      </c>
      <c r="C64" s="19">
        <f t="shared" ca="1" si="0"/>
        <v>643</v>
      </c>
      <c r="D64" s="16">
        <f t="shared" si="1"/>
        <v>45473</v>
      </c>
      <c r="E64" s="20">
        <f t="shared" ca="1" si="2"/>
        <v>46098.776940509262</v>
      </c>
    </row>
    <row r="65" spans="1:5" x14ac:dyDescent="0.3">
      <c r="A65" s="14" t="str">
        <v>TRX0086</v>
      </c>
      <c r="B65" s="16">
        <v>45456</v>
      </c>
      <c r="C65" s="19">
        <f t="shared" ca="1" si="0"/>
        <v>642</v>
      </c>
      <c r="D65" s="16">
        <f t="shared" si="1"/>
        <v>45473</v>
      </c>
      <c r="E65" s="20">
        <f t="shared" ca="1" si="2"/>
        <v>46098.776940509262</v>
      </c>
    </row>
    <row r="66" spans="1:5" x14ac:dyDescent="0.3">
      <c r="A66" s="14" t="str">
        <v>TRX0113</v>
      </c>
      <c r="B66" s="16">
        <v>45457</v>
      </c>
      <c r="C66" s="19">
        <f t="shared" ca="1" si="0"/>
        <v>641</v>
      </c>
      <c r="D66" s="16">
        <f t="shared" si="1"/>
        <v>45473</v>
      </c>
      <c r="E66" s="20">
        <f t="shared" ca="1" si="2"/>
        <v>46098.776940509262</v>
      </c>
    </row>
    <row r="67" spans="1:5" x14ac:dyDescent="0.3">
      <c r="A67" s="14" t="str">
        <v>TRX0114</v>
      </c>
      <c r="B67" s="16">
        <v>45458</v>
      </c>
      <c r="C67" s="19">
        <f t="shared" ref="C67:C130" ca="1" si="3">TODAY()-B67</f>
        <v>640</v>
      </c>
      <c r="D67" s="16">
        <f t="shared" ref="D67:D130" si="4">EOMONTH(B67,0)</f>
        <v>45473</v>
      </c>
      <c r="E67" s="20">
        <f t="shared" ref="E67:E130" ca="1" si="5">NOW()</f>
        <v>46098.776940509262</v>
      </c>
    </row>
    <row r="68" spans="1:5" x14ac:dyDescent="0.3">
      <c r="A68" s="14" t="str">
        <v>TRX0136</v>
      </c>
      <c r="B68" s="16">
        <v>45459</v>
      </c>
      <c r="C68" s="19">
        <f t="shared" ca="1" si="3"/>
        <v>639</v>
      </c>
      <c r="D68" s="16">
        <f t="shared" si="4"/>
        <v>45473</v>
      </c>
      <c r="E68" s="20">
        <f t="shared" ca="1" si="5"/>
        <v>46098.776940509262</v>
      </c>
    </row>
    <row r="69" spans="1:5" x14ac:dyDescent="0.3">
      <c r="A69" s="14" t="str">
        <v>TRX0018</v>
      </c>
      <c r="B69" s="16">
        <v>45460</v>
      </c>
      <c r="C69" s="19">
        <f t="shared" ca="1" si="3"/>
        <v>638</v>
      </c>
      <c r="D69" s="16">
        <f t="shared" si="4"/>
        <v>45473</v>
      </c>
      <c r="E69" s="20">
        <f t="shared" ca="1" si="5"/>
        <v>46098.776940509262</v>
      </c>
    </row>
    <row r="70" spans="1:5" x14ac:dyDescent="0.3">
      <c r="A70" s="14" t="str">
        <v>TRX0141</v>
      </c>
      <c r="B70" s="16">
        <v>45461</v>
      </c>
      <c r="C70" s="19">
        <f t="shared" ca="1" si="3"/>
        <v>637</v>
      </c>
      <c r="D70" s="16">
        <f t="shared" si="4"/>
        <v>45473</v>
      </c>
      <c r="E70" s="20">
        <f t="shared" ca="1" si="5"/>
        <v>46098.776940509262</v>
      </c>
    </row>
    <row r="71" spans="1:5" x14ac:dyDescent="0.3">
      <c r="A71" s="14" t="str">
        <v>TRX0097</v>
      </c>
      <c r="B71" s="16">
        <v>45462</v>
      </c>
      <c r="C71" s="19">
        <f t="shared" ca="1" si="3"/>
        <v>636</v>
      </c>
      <c r="D71" s="16">
        <f t="shared" si="4"/>
        <v>45473</v>
      </c>
      <c r="E71" s="20">
        <f t="shared" ca="1" si="5"/>
        <v>46098.776940509262</v>
      </c>
    </row>
    <row r="72" spans="1:5" x14ac:dyDescent="0.3">
      <c r="A72" s="14" t="str">
        <v>TRX0169</v>
      </c>
      <c r="B72" s="16">
        <v>45463</v>
      </c>
      <c r="C72" s="19">
        <f t="shared" ca="1" si="3"/>
        <v>635</v>
      </c>
      <c r="D72" s="16">
        <f t="shared" si="4"/>
        <v>45473</v>
      </c>
      <c r="E72" s="20">
        <f t="shared" ca="1" si="5"/>
        <v>46098.776940509262</v>
      </c>
    </row>
    <row r="73" spans="1:5" x14ac:dyDescent="0.3">
      <c r="A73" s="14" t="str">
        <v>TRX0216</v>
      </c>
      <c r="B73" s="16">
        <v>45464</v>
      </c>
      <c r="C73" s="19">
        <f t="shared" ca="1" si="3"/>
        <v>634</v>
      </c>
      <c r="D73" s="16">
        <f t="shared" si="4"/>
        <v>45473</v>
      </c>
      <c r="E73" s="20">
        <f t="shared" ca="1" si="5"/>
        <v>46098.776940509262</v>
      </c>
    </row>
    <row r="74" spans="1:5" x14ac:dyDescent="0.3">
      <c r="A74" s="14" t="str">
        <v>TRX0131</v>
      </c>
      <c r="B74" s="16">
        <v>45465</v>
      </c>
      <c r="C74" s="19">
        <f t="shared" ca="1" si="3"/>
        <v>633</v>
      </c>
      <c r="D74" s="16">
        <f t="shared" si="4"/>
        <v>45473</v>
      </c>
      <c r="E74" s="20">
        <f t="shared" ca="1" si="5"/>
        <v>46098.776940509262</v>
      </c>
    </row>
    <row r="75" spans="1:5" x14ac:dyDescent="0.3">
      <c r="A75" s="14" t="str">
        <v>TRX0162</v>
      </c>
      <c r="B75" s="16">
        <v>45466</v>
      </c>
      <c r="C75" s="19">
        <f t="shared" ca="1" si="3"/>
        <v>632</v>
      </c>
      <c r="D75" s="16">
        <f t="shared" si="4"/>
        <v>45473</v>
      </c>
      <c r="E75" s="20">
        <f t="shared" ca="1" si="5"/>
        <v>46098.776940509262</v>
      </c>
    </row>
    <row r="76" spans="1:5" x14ac:dyDescent="0.3">
      <c r="A76" s="14" t="str">
        <v>TRX0244</v>
      </c>
      <c r="B76" s="16">
        <v>45467</v>
      </c>
      <c r="C76" s="19">
        <f t="shared" ca="1" si="3"/>
        <v>631</v>
      </c>
      <c r="D76" s="16">
        <f t="shared" si="4"/>
        <v>45473</v>
      </c>
      <c r="E76" s="20">
        <f t="shared" ca="1" si="5"/>
        <v>46098.776940509262</v>
      </c>
    </row>
    <row r="77" spans="1:5" x14ac:dyDescent="0.3">
      <c r="A77" s="14" t="str">
        <v>TRX0006</v>
      </c>
      <c r="B77" s="16">
        <v>45468</v>
      </c>
      <c r="C77" s="19">
        <f t="shared" ca="1" si="3"/>
        <v>630</v>
      </c>
      <c r="D77" s="16">
        <f t="shared" si="4"/>
        <v>45473</v>
      </c>
      <c r="E77" s="20">
        <f t="shared" ca="1" si="5"/>
        <v>46098.776940509262</v>
      </c>
    </row>
    <row r="78" spans="1:5" x14ac:dyDescent="0.3">
      <c r="A78" s="14" t="str">
        <v>TRX0215</v>
      </c>
      <c r="B78" s="16">
        <v>45469</v>
      </c>
      <c r="C78" s="19">
        <f t="shared" ca="1" si="3"/>
        <v>629</v>
      </c>
      <c r="D78" s="16">
        <f t="shared" si="4"/>
        <v>45473</v>
      </c>
      <c r="E78" s="20">
        <f t="shared" ca="1" si="5"/>
        <v>46098.776940509262</v>
      </c>
    </row>
    <row r="79" spans="1:5" x14ac:dyDescent="0.3">
      <c r="A79" s="14" t="str">
        <v>TRX0080</v>
      </c>
      <c r="B79" s="16">
        <v>45470</v>
      </c>
      <c r="C79" s="19">
        <f t="shared" ca="1" si="3"/>
        <v>628</v>
      </c>
      <c r="D79" s="16">
        <f t="shared" si="4"/>
        <v>45473</v>
      </c>
      <c r="E79" s="20">
        <f t="shared" ca="1" si="5"/>
        <v>46098.776940509262</v>
      </c>
    </row>
    <row r="80" spans="1:5" x14ac:dyDescent="0.3">
      <c r="A80" s="14" t="str">
        <v>TRX0228</v>
      </c>
      <c r="B80" s="16">
        <v>45471</v>
      </c>
      <c r="C80" s="19">
        <f t="shared" ca="1" si="3"/>
        <v>627</v>
      </c>
      <c r="D80" s="16">
        <f t="shared" si="4"/>
        <v>45473</v>
      </c>
      <c r="E80" s="20">
        <f t="shared" ca="1" si="5"/>
        <v>46098.776940509262</v>
      </c>
    </row>
    <row r="81" spans="1:5" x14ac:dyDescent="0.3">
      <c r="A81" s="14" t="str">
        <v>TRX0157</v>
      </c>
      <c r="B81" s="16">
        <v>45472</v>
      </c>
      <c r="C81" s="19">
        <f t="shared" ca="1" si="3"/>
        <v>626</v>
      </c>
      <c r="D81" s="16">
        <f t="shared" si="4"/>
        <v>45473</v>
      </c>
      <c r="E81" s="20">
        <f t="shared" ca="1" si="5"/>
        <v>46098.776940509262</v>
      </c>
    </row>
    <row r="82" spans="1:5" x14ac:dyDescent="0.3">
      <c r="A82" s="14" t="str">
        <v>TRX0002</v>
      </c>
      <c r="B82" s="16">
        <v>45473</v>
      </c>
      <c r="C82" s="19">
        <f t="shared" ca="1" si="3"/>
        <v>625</v>
      </c>
      <c r="D82" s="16">
        <f t="shared" si="4"/>
        <v>45473</v>
      </c>
      <c r="E82" s="20">
        <f t="shared" ca="1" si="5"/>
        <v>46098.776940509262</v>
      </c>
    </row>
    <row r="83" spans="1:5" x14ac:dyDescent="0.3">
      <c r="A83" s="14" t="str">
        <v>TRX0217</v>
      </c>
      <c r="B83" s="16">
        <v>45474</v>
      </c>
      <c r="C83" s="19">
        <f t="shared" ca="1" si="3"/>
        <v>624</v>
      </c>
      <c r="D83" s="16">
        <f t="shared" si="4"/>
        <v>45504</v>
      </c>
      <c r="E83" s="20">
        <f t="shared" ca="1" si="5"/>
        <v>46098.776940509262</v>
      </c>
    </row>
    <row r="84" spans="1:5" x14ac:dyDescent="0.3">
      <c r="A84" s="14" t="str">
        <v>TRX0249</v>
      </c>
      <c r="B84" s="16">
        <v>45475</v>
      </c>
      <c r="C84" s="19">
        <f t="shared" ca="1" si="3"/>
        <v>623</v>
      </c>
      <c r="D84" s="16">
        <f t="shared" si="4"/>
        <v>45504</v>
      </c>
      <c r="E84" s="20">
        <f t="shared" ca="1" si="5"/>
        <v>46098.776940509262</v>
      </c>
    </row>
    <row r="85" spans="1:5" x14ac:dyDescent="0.3">
      <c r="A85" s="14" t="str">
        <v>TRX0065</v>
      </c>
      <c r="B85" s="16">
        <v>45476</v>
      </c>
      <c r="C85" s="19">
        <f t="shared" ca="1" si="3"/>
        <v>622</v>
      </c>
      <c r="D85" s="16">
        <f t="shared" si="4"/>
        <v>45504</v>
      </c>
      <c r="E85" s="20">
        <f t="shared" ca="1" si="5"/>
        <v>46098.776940509262</v>
      </c>
    </row>
    <row r="86" spans="1:5" x14ac:dyDescent="0.3">
      <c r="A86" s="14" t="str">
        <v>TRX0176</v>
      </c>
      <c r="B86" s="16">
        <v>45477</v>
      </c>
      <c r="C86" s="19">
        <f t="shared" ca="1" si="3"/>
        <v>621</v>
      </c>
      <c r="D86" s="16">
        <f t="shared" si="4"/>
        <v>45504</v>
      </c>
      <c r="E86" s="20">
        <f t="shared" ca="1" si="5"/>
        <v>46098.776940509262</v>
      </c>
    </row>
    <row r="87" spans="1:5" x14ac:dyDescent="0.3">
      <c r="A87" s="14" t="str">
        <v>TRX0101</v>
      </c>
      <c r="B87" s="16">
        <v>45478</v>
      </c>
      <c r="C87" s="19">
        <f t="shared" ca="1" si="3"/>
        <v>620</v>
      </c>
      <c r="D87" s="16">
        <f t="shared" si="4"/>
        <v>45504</v>
      </c>
      <c r="E87" s="20">
        <f t="shared" ca="1" si="5"/>
        <v>46098.776940509262</v>
      </c>
    </row>
    <row r="88" spans="1:5" x14ac:dyDescent="0.3">
      <c r="A88" s="14" t="str">
        <v>TRX0205</v>
      </c>
      <c r="B88" s="16">
        <v>45479</v>
      </c>
      <c r="C88" s="19">
        <f t="shared" ca="1" si="3"/>
        <v>619</v>
      </c>
      <c r="D88" s="16">
        <f t="shared" si="4"/>
        <v>45504</v>
      </c>
      <c r="E88" s="20">
        <f t="shared" ca="1" si="5"/>
        <v>46098.776940509262</v>
      </c>
    </row>
    <row r="89" spans="1:5" x14ac:dyDescent="0.3">
      <c r="A89" s="14" t="str">
        <v>TRX0020</v>
      </c>
      <c r="B89" s="16">
        <v>45480</v>
      </c>
      <c r="C89" s="19">
        <f t="shared" ca="1" si="3"/>
        <v>618</v>
      </c>
      <c r="D89" s="16">
        <f t="shared" si="4"/>
        <v>45504</v>
      </c>
      <c r="E89" s="20">
        <f t="shared" ca="1" si="5"/>
        <v>46098.776940509262</v>
      </c>
    </row>
    <row r="90" spans="1:5" x14ac:dyDescent="0.3">
      <c r="A90" s="14" t="str">
        <v>TRX0075</v>
      </c>
      <c r="B90" s="16">
        <v>45481</v>
      </c>
      <c r="C90" s="19">
        <f t="shared" ca="1" si="3"/>
        <v>617</v>
      </c>
      <c r="D90" s="16">
        <f t="shared" si="4"/>
        <v>45504</v>
      </c>
      <c r="E90" s="20">
        <f t="shared" ca="1" si="5"/>
        <v>46098.776940509262</v>
      </c>
    </row>
    <row r="91" spans="1:5" x14ac:dyDescent="0.3">
      <c r="A91" s="14" t="str">
        <v>TRX0098</v>
      </c>
      <c r="B91" s="16">
        <v>45482</v>
      </c>
      <c r="C91" s="19">
        <f t="shared" ca="1" si="3"/>
        <v>616</v>
      </c>
      <c r="D91" s="16">
        <f t="shared" si="4"/>
        <v>45504</v>
      </c>
      <c r="E91" s="20">
        <f t="shared" ca="1" si="5"/>
        <v>46098.776940509262</v>
      </c>
    </row>
    <row r="92" spans="1:5" x14ac:dyDescent="0.3">
      <c r="A92" s="14" t="str">
        <v>TRX0247</v>
      </c>
      <c r="B92" s="16">
        <v>45483</v>
      </c>
      <c r="C92" s="19">
        <f t="shared" ca="1" si="3"/>
        <v>615</v>
      </c>
      <c r="D92" s="16">
        <f t="shared" si="4"/>
        <v>45504</v>
      </c>
      <c r="E92" s="20">
        <f t="shared" ca="1" si="5"/>
        <v>46098.776940509262</v>
      </c>
    </row>
    <row r="93" spans="1:5" x14ac:dyDescent="0.3">
      <c r="A93" s="14" t="str">
        <v>TRX0027</v>
      </c>
      <c r="B93" s="16">
        <v>45484</v>
      </c>
      <c r="C93" s="19">
        <f t="shared" ca="1" si="3"/>
        <v>614</v>
      </c>
      <c r="D93" s="16">
        <f t="shared" si="4"/>
        <v>45504</v>
      </c>
      <c r="E93" s="20">
        <f t="shared" ca="1" si="5"/>
        <v>46098.776940509262</v>
      </c>
    </row>
    <row r="94" spans="1:5" x14ac:dyDescent="0.3">
      <c r="A94" s="14" t="str">
        <v>TRX0140</v>
      </c>
      <c r="B94" s="16">
        <v>45485</v>
      </c>
      <c r="C94" s="19">
        <f t="shared" ca="1" si="3"/>
        <v>613</v>
      </c>
      <c r="D94" s="16">
        <f t="shared" si="4"/>
        <v>45504</v>
      </c>
      <c r="E94" s="20">
        <f t="shared" ca="1" si="5"/>
        <v>46098.776940509262</v>
      </c>
    </row>
    <row r="95" spans="1:5" x14ac:dyDescent="0.3">
      <c r="A95" s="14" t="str">
        <v>TRX0132</v>
      </c>
      <c r="B95" s="16">
        <v>45486</v>
      </c>
      <c r="C95" s="19">
        <f t="shared" ca="1" si="3"/>
        <v>612</v>
      </c>
      <c r="D95" s="16">
        <f t="shared" si="4"/>
        <v>45504</v>
      </c>
      <c r="E95" s="20">
        <f t="shared" ca="1" si="5"/>
        <v>46098.776940509262</v>
      </c>
    </row>
    <row r="96" spans="1:5" x14ac:dyDescent="0.3">
      <c r="A96" s="14" t="str">
        <v>TRX0031</v>
      </c>
      <c r="B96" s="16">
        <v>45487</v>
      </c>
      <c r="C96" s="19">
        <f t="shared" ca="1" si="3"/>
        <v>611</v>
      </c>
      <c r="D96" s="16">
        <f t="shared" si="4"/>
        <v>45504</v>
      </c>
      <c r="E96" s="20">
        <f t="shared" ca="1" si="5"/>
        <v>46098.776940509262</v>
      </c>
    </row>
    <row r="97" spans="1:5" x14ac:dyDescent="0.3">
      <c r="A97" s="14" t="str">
        <v>TRX0236</v>
      </c>
      <c r="B97" s="16">
        <v>45488</v>
      </c>
      <c r="C97" s="19">
        <f t="shared" ca="1" si="3"/>
        <v>610</v>
      </c>
      <c r="D97" s="16">
        <f t="shared" si="4"/>
        <v>45504</v>
      </c>
      <c r="E97" s="20">
        <f t="shared" ca="1" si="5"/>
        <v>46098.776940509262</v>
      </c>
    </row>
    <row r="98" spans="1:5" x14ac:dyDescent="0.3">
      <c r="A98" s="14" t="str">
        <v>TRX0001</v>
      </c>
      <c r="B98" s="16">
        <v>45489</v>
      </c>
      <c r="C98" s="19">
        <f t="shared" ca="1" si="3"/>
        <v>609</v>
      </c>
      <c r="D98" s="16">
        <f t="shared" si="4"/>
        <v>45504</v>
      </c>
      <c r="E98" s="20">
        <f t="shared" ca="1" si="5"/>
        <v>46098.776940509262</v>
      </c>
    </row>
    <row r="99" spans="1:5" x14ac:dyDescent="0.3">
      <c r="A99" s="14" t="str">
        <v>TRX0037</v>
      </c>
      <c r="B99" s="16">
        <v>45490</v>
      </c>
      <c r="C99" s="19">
        <f t="shared" ca="1" si="3"/>
        <v>608</v>
      </c>
      <c r="D99" s="16">
        <f t="shared" si="4"/>
        <v>45504</v>
      </c>
      <c r="E99" s="20">
        <f t="shared" ca="1" si="5"/>
        <v>46098.776940509262</v>
      </c>
    </row>
    <row r="100" spans="1:5" x14ac:dyDescent="0.3">
      <c r="A100" s="14" t="str">
        <v>TRX0058</v>
      </c>
      <c r="B100" s="16">
        <v>45491</v>
      </c>
      <c r="C100" s="19">
        <f t="shared" ca="1" si="3"/>
        <v>607</v>
      </c>
      <c r="D100" s="16">
        <f t="shared" si="4"/>
        <v>45504</v>
      </c>
      <c r="E100" s="20">
        <f t="shared" ca="1" si="5"/>
        <v>46098.776940509262</v>
      </c>
    </row>
    <row r="101" spans="1:5" x14ac:dyDescent="0.3">
      <c r="A101" s="14" t="str">
        <v>TRX0170</v>
      </c>
      <c r="B101" s="16">
        <v>45492</v>
      </c>
      <c r="C101" s="19">
        <f t="shared" ca="1" si="3"/>
        <v>606</v>
      </c>
      <c r="D101" s="16">
        <f t="shared" si="4"/>
        <v>45504</v>
      </c>
      <c r="E101" s="20">
        <f t="shared" ca="1" si="5"/>
        <v>46098.776940509262</v>
      </c>
    </row>
    <row r="102" spans="1:5" x14ac:dyDescent="0.3">
      <c r="A102" s="14" t="str">
        <v>TRX0248</v>
      </c>
      <c r="B102" s="16">
        <v>45493</v>
      </c>
      <c r="C102" s="19">
        <f t="shared" ca="1" si="3"/>
        <v>605</v>
      </c>
      <c r="D102" s="16">
        <f t="shared" si="4"/>
        <v>45504</v>
      </c>
      <c r="E102" s="20">
        <f t="shared" ca="1" si="5"/>
        <v>46098.776940509262</v>
      </c>
    </row>
    <row r="103" spans="1:5" x14ac:dyDescent="0.3">
      <c r="A103" s="14" t="str">
        <v>TRX0099</v>
      </c>
      <c r="B103" s="16">
        <v>45494</v>
      </c>
      <c r="C103" s="19">
        <f t="shared" ca="1" si="3"/>
        <v>604</v>
      </c>
      <c r="D103" s="16">
        <f t="shared" si="4"/>
        <v>45504</v>
      </c>
      <c r="E103" s="20">
        <f t="shared" ca="1" si="5"/>
        <v>46098.776940509262</v>
      </c>
    </row>
    <row r="104" spans="1:5" x14ac:dyDescent="0.3">
      <c r="A104" s="14" t="str">
        <v>TRX0074</v>
      </c>
      <c r="B104" s="16">
        <v>45495</v>
      </c>
      <c r="C104" s="19">
        <f t="shared" ca="1" si="3"/>
        <v>603</v>
      </c>
      <c r="D104" s="16">
        <f t="shared" si="4"/>
        <v>45504</v>
      </c>
      <c r="E104" s="20">
        <f t="shared" ca="1" si="5"/>
        <v>46098.776940509262</v>
      </c>
    </row>
    <row r="105" spans="1:5" x14ac:dyDescent="0.3">
      <c r="A105" s="14" t="str">
        <v>TRX0225</v>
      </c>
      <c r="B105" s="16">
        <v>45496</v>
      </c>
      <c r="C105" s="19">
        <f t="shared" ca="1" si="3"/>
        <v>602</v>
      </c>
      <c r="D105" s="16">
        <f t="shared" si="4"/>
        <v>45504</v>
      </c>
      <c r="E105" s="20">
        <f t="shared" ca="1" si="5"/>
        <v>46098.776940509262</v>
      </c>
    </row>
    <row r="106" spans="1:5" x14ac:dyDescent="0.3">
      <c r="A106" s="14" t="str">
        <v>TRX0100</v>
      </c>
      <c r="B106" s="16">
        <v>45497</v>
      </c>
      <c r="C106" s="19">
        <f t="shared" ca="1" si="3"/>
        <v>601</v>
      </c>
      <c r="D106" s="16">
        <f t="shared" si="4"/>
        <v>45504</v>
      </c>
      <c r="E106" s="20">
        <f t="shared" ca="1" si="5"/>
        <v>46098.776940509262</v>
      </c>
    </row>
    <row r="107" spans="1:5" x14ac:dyDescent="0.3">
      <c r="A107" s="14" t="str">
        <v>TRX0142</v>
      </c>
      <c r="B107" s="16">
        <v>45498</v>
      </c>
      <c r="C107" s="19">
        <f t="shared" ca="1" si="3"/>
        <v>600</v>
      </c>
      <c r="D107" s="16">
        <f t="shared" si="4"/>
        <v>45504</v>
      </c>
      <c r="E107" s="20">
        <f t="shared" ca="1" si="5"/>
        <v>46098.776940509262</v>
      </c>
    </row>
    <row r="108" spans="1:5" x14ac:dyDescent="0.3">
      <c r="A108" s="14" t="str">
        <v>TRX0112</v>
      </c>
      <c r="B108" s="16">
        <v>45499</v>
      </c>
      <c r="C108" s="19">
        <f t="shared" ca="1" si="3"/>
        <v>599</v>
      </c>
      <c r="D108" s="16">
        <f t="shared" si="4"/>
        <v>45504</v>
      </c>
      <c r="E108" s="20">
        <f t="shared" ca="1" si="5"/>
        <v>46098.776940509262</v>
      </c>
    </row>
    <row r="109" spans="1:5" x14ac:dyDescent="0.3">
      <c r="A109" s="14" t="str">
        <v>TRX0161</v>
      </c>
      <c r="B109" s="16">
        <v>45500</v>
      </c>
      <c r="C109" s="19">
        <f t="shared" ca="1" si="3"/>
        <v>598</v>
      </c>
      <c r="D109" s="16">
        <f t="shared" si="4"/>
        <v>45504</v>
      </c>
      <c r="E109" s="20">
        <f t="shared" ca="1" si="5"/>
        <v>46098.776940509262</v>
      </c>
    </row>
    <row r="110" spans="1:5" x14ac:dyDescent="0.3">
      <c r="A110" s="14" t="str">
        <v>TRX0108</v>
      </c>
      <c r="B110" s="16">
        <v>45501</v>
      </c>
      <c r="C110" s="19">
        <f t="shared" ca="1" si="3"/>
        <v>597</v>
      </c>
      <c r="D110" s="16">
        <f t="shared" si="4"/>
        <v>45504</v>
      </c>
      <c r="E110" s="20">
        <f t="shared" ca="1" si="5"/>
        <v>46098.776940509262</v>
      </c>
    </row>
    <row r="111" spans="1:5" x14ac:dyDescent="0.3">
      <c r="A111" s="14" t="str">
        <v>TRX0211</v>
      </c>
      <c r="B111" s="16">
        <v>45502</v>
      </c>
      <c r="C111" s="19">
        <f t="shared" ca="1" si="3"/>
        <v>596</v>
      </c>
      <c r="D111" s="16">
        <f t="shared" si="4"/>
        <v>45504</v>
      </c>
      <c r="E111" s="20">
        <f t="shared" ca="1" si="5"/>
        <v>46098.776940509262</v>
      </c>
    </row>
    <row r="112" spans="1:5" x14ac:dyDescent="0.3">
      <c r="A112" s="14" t="str">
        <v>TRX0005</v>
      </c>
      <c r="B112" s="16">
        <v>45503</v>
      </c>
      <c r="C112" s="19">
        <f t="shared" ca="1" si="3"/>
        <v>595</v>
      </c>
      <c r="D112" s="16">
        <f t="shared" si="4"/>
        <v>45504</v>
      </c>
      <c r="E112" s="20">
        <f t="shared" ca="1" si="5"/>
        <v>46098.776940509262</v>
      </c>
    </row>
    <row r="113" spans="1:5" x14ac:dyDescent="0.3">
      <c r="A113" s="14" t="str">
        <v>TRX0195</v>
      </c>
      <c r="B113" s="16">
        <v>45504</v>
      </c>
      <c r="C113" s="19">
        <f t="shared" ca="1" si="3"/>
        <v>594</v>
      </c>
      <c r="D113" s="16">
        <f t="shared" si="4"/>
        <v>45504</v>
      </c>
      <c r="E113" s="20">
        <f t="shared" ca="1" si="5"/>
        <v>46098.776940509262</v>
      </c>
    </row>
    <row r="114" spans="1:5" x14ac:dyDescent="0.3">
      <c r="A114" s="14" t="str">
        <v>TRX0054</v>
      </c>
      <c r="B114" s="16">
        <v>45505</v>
      </c>
      <c r="C114" s="19">
        <f t="shared" ca="1" si="3"/>
        <v>593</v>
      </c>
      <c r="D114" s="16">
        <f t="shared" si="4"/>
        <v>45535</v>
      </c>
      <c r="E114" s="20">
        <f t="shared" ca="1" si="5"/>
        <v>46098.776940509262</v>
      </c>
    </row>
    <row r="115" spans="1:5" x14ac:dyDescent="0.3">
      <c r="A115" s="14" t="str">
        <v>TRX0077</v>
      </c>
      <c r="B115" s="16">
        <v>45506</v>
      </c>
      <c r="C115" s="19">
        <f t="shared" ca="1" si="3"/>
        <v>592</v>
      </c>
      <c r="D115" s="16">
        <f t="shared" si="4"/>
        <v>45535</v>
      </c>
      <c r="E115" s="20">
        <f t="shared" ca="1" si="5"/>
        <v>46098.776940509262</v>
      </c>
    </row>
    <row r="116" spans="1:5" x14ac:dyDescent="0.3">
      <c r="A116" s="14" t="str">
        <v>TRX0111</v>
      </c>
      <c r="B116" s="16">
        <v>45507</v>
      </c>
      <c r="C116" s="19">
        <f t="shared" ca="1" si="3"/>
        <v>591</v>
      </c>
      <c r="D116" s="16">
        <f t="shared" si="4"/>
        <v>45535</v>
      </c>
      <c r="E116" s="20">
        <f t="shared" ca="1" si="5"/>
        <v>46098.776940509262</v>
      </c>
    </row>
    <row r="117" spans="1:5" x14ac:dyDescent="0.3">
      <c r="A117" s="14" t="str">
        <v>TRX0123</v>
      </c>
      <c r="B117" s="16">
        <v>45508</v>
      </c>
      <c r="C117" s="19">
        <f t="shared" ca="1" si="3"/>
        <v>590</v>
      </c>
      <c r="D117" s="16">
        <f t="shared" si="4"/>
        <v>45535</v>
      </c>
      <c r="E117" s="20">
        <f t="shared" ca="1" si="5"/>
        <v>46098.776940509262</v>
      </c>
    </row>
    <row r="118" spans="1:5" x14ac:dyDescent="0.3">
      <c r="A118" s="14" t="str">
        <v>TRX0177</v>
      </c>
      <c r="B118" s="16">
        <v>45509</v>
      </c>
      <c r="C118" s="19">
        <f t="shared" ca="1" si="3"/>
        <v>589</v>
      </c>
      <c r="D118" s="16">
        <f t="shared" si="4"/>
        <v>45535</v>
      </c>
      <c r="E118" s="20">
        <f t="shared" ca="1" si="5"/>
        <v>46098.776940509262</v>
      </c>
    </row>
    <row r="119" spans="1:5" x14ac:dyDescent="0.3">
      <c r="A119" s="14" t="str">
        <v>TRX0119</v>
      </c>
      <c r="B119" s="16">
        <v>45510</v>
      </c>
      <c r="C119" s="19">
        <f t="shared" ca="1" si="3"/>
        <v>588</v>
      </c>
      <c r="D119" s="16">
        <f t="shared" si="4"/>
        <v>45535</v>
      </c>
      <c r="E119" s="20">
        <f t="shared" ca="1" si="5"/>
        <v>46098.776940509262</v>
      </c>
    </row>
    <row r="120" spans="1:5" x14ac:dyDescent="0.3">
      <c r="A120" s="14" t="str">
        <v>TRX0181</v>
      </c>
      <c r="B120" s="16">
        <v>45511</v>
      </c>
      <c r="C120" s="19">
        <f t="shared" ca="1" si="3"/>
        <v>587</v>
      </c>
      <c r="D120" s="16">
        <f t="shared" si="4"/>
        <v>45535</v>
      </c>
      <c r="E120" s="20">
        <f t="shared" ca="1" si="5"/>
        <v>46098.776940509262</v>
      </c>
    </row>
    <row r="121" spans="1:5" x14ac:dyDescent="0.3">
      <c r="A121" s="14" t="str">
        <v>TRX0129</v>
      </c>
      <c r="B121" s="16">
        <v>45512</v>
      </c>
      <c r="C121" s="19">
        <f t="shared" ca="1" si="3"/>
        <v>586</v>
      </c>
      <c r="D121" s="16">
        <f t="shared" si="4"/>
        <v>45535</v>
      </c>
      <c r="E121" s="20">
        <f t="shared" ca="1" si="5"/>
        <v>46098.776940509262</v>
      </c>
    </row>
    <row r="122" spans="1:5" x14ac:dyDescent="0.3">
      <c r="A122" s="14" t="str">
        <v>TRX0174</v>
      </c>
      <c r="B122" s="16">
        <v>45513</v>
      </c>
      <c r="C122" s="19">
        <f t="shared" ca="1" si="3"/>
        <v>585</v>
      </c>
      <c r="D122" s="16">
        <f t="shared" si="4"/>
        <v>45535</v>
      </c>
      <c r="E122" s="20">
        <f t="shared" ca="1" si="5"/>
        <v>46098.776940509262</v>
      </c>
    </row>
    <row r="123" spans="1:5" x14ac:dyDescent="0.3">
      <c r="A123" s="14" t="str">
        <v>TRX0146</v>
      </c>
      <c r="B123" s="16">
        <v>45514</v>
      </c>
      <c r="C123" s="19">
        <f t="shared" ca="1" si="3"/>
        <v>584</v>
      </c>
      <c r="D123" s="16">
        <f t="shared" si="4"/>
        <v>45535</v>
      </c>
      <c r="E123" s="20">
        <f t="shared" ca="1" si="5"/>
        <v>46098.776940509262</v>
      </c>
    </row>
    <row r="124" spans="1:5" x14ac:dyDescent="0.3">
      <c r="A124" s="14" t="str">
        <v>TRX0203</v>
      </c>
      <c r="B124" s="16">
        <v>45515</v>
      </c>
      <c r="C124" s="19">
        <f t="shared" ca="1" si="3"/>
        <v>583</v>
      </c>
      <c r="D124" s="16">
        <f t="shared" si="4"/>
        <v>45535</v>
      </c>
      <c r="E124" s="20">
        <f t="shared" ca="1" si="5"/>
        <v>46098.776940509262</v>
      </c>
    </row>
    <row r="125" spans="1:5" x14ac:dyDescent="0.3">
      <c r="A125" s="14" t="str">
        <v>TRX0055</v>
      </c>
      <c r="B125" s="16">
        <v>45516</v>
      </c>
      <c r="C125" s="19">
        <f t="shared" ca="1" si="3"/>
        <v>582</v>
      </c>
      <c r="D125" s="16">
        <f t="shared" si="4"/>
        <v>45535</v>
      </c>
      <c r="E125" s="20">
        <f t="shared" ca="1" si="5"/>
        <v>46098.776940509262</v>
      </c>
    </row>
    <row r="126" spans="1:5" x14ac:dyDescent="0.3">
      <c r="A126" s="14" t="str">
        <v>TRX0218</v>
      </c>
      <c r="B126" s="16">
        <v>45517</v>
      </c>
      <c r="C126" s="19">
        <f t="shared" ca="1" si="3"/>
        <v>581</v>
      </c>
      <c r="D126" s="16">
        <f t="shared" si="4"/>
        <v>45535</v>
      </c>
      <c r="E126" s="20">
        <f t="shared" ca="1" si="5"/>
        <v>46098.776940509262</v>
      </c>
    </row>
    <row r="127" spans="1:5" x14ac:dyDescent="0.3">
      <c r="A127" s="14" t="str">
        <v>TRX0085</v>
      </c>
      <c r="B127" s="16">
        <v>45518</v>
      </c>
      <c r="C127" s="19">
        <f t="shared" ca="1" si="3"/>
        <v>580</v>
      </c>
      <c r="D127" s="16">
        <f t="shared" si="4"/>
        <v>45535</v>
      </c>
      <c r="E127" s="20">
        <f t="shared" ca="1" si="5"/>
        <v>46098.776940509262</v>
      </c>
    </row>
    <row r="128" spans="1:5" x14ac:dyDescent="0.3">
      <c r="A128" s="14" t="str">
        <v>TRX0158</v>
      </c>
      <c r="B128" s="16">
        <v>45519</v>
      </c>
      <c r="C128" s="19">
        <f t="shared" ca="1" si="3"/>
        <v>579</v>
      </c>
      <c r="D128" s="16">
        <f t="shared" si="4"/>
        <v>45535</v>
      </c>
      <c r="E128" s="20">
        <f t="shared" ca="1" si="5"/>
        <v>46098.776940509262</v>
      </c>
    </row>
    <row r="129" spans="1:5" x14ac:dyDescent="0.3">
      <c r="A129" s="14" t="str">
        <v>TRX0173</v>
      </c>
      <c r="B129" s="16">
        <v>45520</v>
      </c>
      <c r="C129" s="19">
        <f t="shared" ca="1" si="3"/>
        <v>578</v>
      </c>
      <c r="D129" s="16">
        <f t="shared" si="4"/>
        <v>45535</v>
      </c>
      <c r="E129" s="20">
        <f t="shared" ca="1" si="5"/>
        <v>46098.776940509262</v>
      </c>
    </row>
    <row r="130" spans="1:5" x14ac:dyDescent="0.3">
      <c r="A130" s="14" t="str">
        <v>TRX0034</v>
      </c>
      <c r="B130" s="16">
        <v>45521</v>
      </c>
      <c r="C130" s="19">
        <f t="shared" ca="1" si="3"/>
        <v>577</v>
      </c>
      <c r="D130" s="16">
        <f t="shared" si="4"/>
        <v>45535</v>
      </c>
      <c r="E130" s="20">
        <f t="shared" ca="1" si="5"/>
        <v>46098.776940509262</v>
      </c>
    </row>
    <row r="131" spans="1:5" x14ac:dyDescent="0.3">
      <c r="A131" s="14" t="str">
        <v>TRX0189</v>
      </c>
      <c r="B131" s="16">
        <v>45522</v>
      </c>
      <c r="C131" s="19">
        <f t="shared" ref="C131:C194" ca="1" si="6">TODAY()-B131</f>
        <v>576</v>
      </c>
      <c r="D131" s="16">
        <f t="shared" ref="D131:D194" si="7">EOMONTH(B131,0)</f>
        <v>45535</v>
      </c>
      <c r="E131" s="20">
        <f t="shared" ref="E131:E194" ca="1" si="8">NOW()</f>
        <v>46098.776940509262</v>
      </c>
    </row>
    <row r="132" spans="1:5" x14ac:dyDescent="0.3">
      <c r="A132" s="14" t="str">
        <v>TRX0190</v>
      </c>
      <c r="B132" s="16">
        <v>45523</v>
      </c>
      <c r="C132" s="19">
        <f t="shared" ca="1" si="6"/>
        <v>575</v>
      </c>
      <c r="D132" s="16">
        <f t="shared" si="7"/>
        <v>45535</v>
      </c>
      <c r="E132" s="20">
        <f t="shared" ca="1" si="8"/>
        <v>46098.776940509262</v>
      </c>
    </row>
    <row r="133" spans="1:5" x14ac:dyDescent="0.3">
      <c r="A133" s="14" t="str">
        <v>TRX0079</v>
      </c>
      <c r="B133" s="16">
        <v>45524</v>
      </c>
      <c r="C133" s="19">
        <f t="shared" ca="1" si="6"/>
        <v>574</v>
      </c>
      <c r="D133" s="16">
        <f t="shared" si="7"/>
        <v>45535</v>
      </c>
      <c r="E133" s="20">
        <f t="shared" ca="1" si="8"/>
        <v>46098.776940509262</v>
      </c>
    </row>
    <row r="134" spans="1:5" x14ac:dyDescent="0.3">
      <c r="A134" s="14" t="str">
        <v>TRX0095</v>
      </c>
      <c r="B134" s="16">
        <v>45525</v>
      </c>
      <c r="C134" s="19">
        <f t="shared" ca="1" si="6"/>
        <v>573</v>
      </c>
      <c r="D134" s="16">
        <f t="shared" si="7"/>
        <v>45535</v>
      </c>
      <c r="E134" s="20">
        <f t="shared" ca="1" si="8"/>
        <v>46098.776940509262</v>
      </c>
    </row>
    <row r="135" spans="1:5" x14ac:dyDescent="0.3">
      <c r="A135" s="14" t="str">
        <v>TRX0009</v>
      </c>
      <c r="B135" s="16">
        <v>45526</v>
      </c>
      <c r="C135" s="19">
        <f t="shared" ca="1" si="6"/>
        <v>572</v>
      </c>
      <c r="D135" s="16">
        <f t="shared" si="7"/>
        <v>45535</v>
      </c>
      <c r="E135" s="20">
        <f t="shared" ca="1" si="8"/>
        <v>46098.776940509262</v>
      </c>
    </row>
    <row r="136" spans="1:5" x14ac:dyDescent="0.3">
      <c r="A136" s="14" t="str">
        <v>TRX0167</v>
      </c>
      <c r="B136" s="16">
        <v>45527</v>
      </c>
      <c r="C136" s="19">
        <f t="shared" ca="1" si="6"/>
        <v>571</v>
      </c>
      <c r="D136" s="16">
        <f t="shared" si="7"/>
        <v>45535</v>
      </c>
      <c r="E136" s="20">
        <f t="shared" ca="1" si="8"/>
        <v>46098.776940509262</v>
      </c>
    </row>
    <row r="137" spans="1:5" x14ac:dyDescent="0.3">
      <c r="A137" s="14" t="str">
        <v>TRX0153</v>
      </c>
      <c r="B137" s="16">
        <v>45528</v>
      </c>
      <c r="C137" s="19">
        <f t="shared" ca="1" si="6"/>
        <v>570</v>
      </c>
      <c r="D137" s="16">
        <f t="shared" si="7"/>
        <v>45535</v>
      </c>
      <c r="E137" s="20">
        <f t="shared" ca="1" si="8"/>
        <v>46098.776940509262</v>
      </c>
    </row>
    <row r="138" spans="1:5" x14ac:dyDescent="0.3">
      <c r="A138" s="14" t="str">
        <v>TRX0057</v>
      </c>
      <c r="B138" s="16">
        <v>45529</v>
      </c>
      <c r="C138" s="19">
        <f t="shared" ca="1" si="6"/>
        <v>569</v>
      </c>
      <c r="D138" s="16">
        <f t="shared" si="7"/>
        <v>45535</v>
      </c>
      <c r="E138" s="20">
        <f t="shared" ca="1" si="8"/>
        <v>46098.776940509262</v>
      </c>
    </row>
    <row r="139" spans="1:5" x14ac:dyDescent="0.3">
      <c r="A139" s="14" t="str">
        <v>TRX0017</v>
      </c>
      <c r="B139" s="16">
        <v>45530</v>
      </c>
      <c r="C139" s="19">
        <f t="shared" ca="1" si="6"/>
        <v>568</v>
      </c>
      <c r="D139" s="16">
        <f t="shared" si="7"/>
        <v>45535</v>
      </c>
      <c r="E139" s="20">
        <f t="shared" ca="1" si="8"/>
        <v>46098.776940509262</v>
      </c>
    </row>
    <row r="140" spans="1:5" x14ac:dyDescent="0.3">
      <c r="A140" s="14" t="str">
        <v>TRX0060</v>
      </c>
      <c r="B140" s="16">
        <v>45531</v>
      </c>
      <c r="C140" s="19">
        <f t="shared" ca="1" si="6"/>
        <v>567</v>
      </c>
      <c r="D140" s="16">
        <f t="shared" si="7"/>
        <v>45535</v>
      </c>
      <c r="E140" s="20">
        <f t="shared" ca="1" si="8"/>
        <v>46098.776940509262</v>
      </c>
    </row>
    <row r="141" spans="1:5" x14ac:dyDescent="0.3">
      <c r="A141" s="14" t="str">
        <v>TRX0109</v>
      </c>
      <c r="B141" s="16">
        <v>45532</v>
      </c>
      <c r="C141" s="19">
        <f t="shared" ca="1" si="6"/>
        <v>566</v>
      </c>
      <c r="D141" s="16">
        <f t="shared" si="7"/>
        <v>45535</v>
      </c>
      <c r="E141" s="20">
        <f t="shared" ca="1" si="8"/>
        <v>46098.776940509262</v>
      </c>
    </row>
    <row r="142" spans="1:5" x14ac:dyDescent="0.3">
      <c r="A142" s="14" t="str">
        <v>TRX0090</v>
      </c>
      <c r="B142" s="16">
        <v>45533</v>
      </c>
      <c r="C142" s="19">
        <f t="shared" ca="1" si="6"/>
        <v>565</v>
      </c>
      <c r="D142" s="16">
        <f t="shared" si="7"/>
        <v>45535</v>
      </c>
      <c r="E142" s="20">
        <f t="shared" ca="1" si="8"/>
        <v>46098.776940509262</v>
      </c>
    </row>
    <row r="143" spans="1:5" x14ac:dyDescent="0.3">
      <c r="A143" s="14" t="str">
        <v>TRX0035</v>
      </c>
      <c r="B143" s="16">
        <v>45534</v>
      </c>
      <c r="C143" s="19">
        <f t="shared" ca="1" si="6"/>
        <v>564</v>
      </c>
      <c r="D143" s="16">
        <f t="shared" si="7"/>
        <v>45535</v>
      </c>
      <c r="E143" s="20">
        <f t="shared" ca="1" si="8"/>
        <v>46098.776940509262</v>
      </c>
    </row>
    <row r="144" spans="1:5" x14ac:dyDescent="0.3">
      <c r="A144" s="14" t="str">
        <v>TRX0172</v>
      </c>
      <c r="B144" s="16">
        <v>45535</v>
      </c>
      <c r="C144" s="19">
        <f t="shared" ca="1" si="6"/>
        <v>563</v>
      </c>
      <c r="D144" s="16">
        <f t="shared" si="7"/>
        <v>45535</v>
      </c>
      <c r="E144" s="20">
        <f t="shared" ca="1" si="8"/>
        <v>46098.776940509262</v>
      </c>
    </row>
    <row r="145" spans="1:5" x14ac:dyDescent="0.3">
      <c r="A145" s="14" t="str">
        <v>TRX0076</v>
      </c>
      <c r="B145" s="16">
        <v>45536</v>
      </c>
      <c r="C145" s="19">
        <f t="shared" ca="1" si="6"/>
        <v>562</v>
      </c>
      <c r="D145" s="16">
        <f t="shared" si="7"/>
        <v>45565</v>
      </c>
      <c r="E145" s="20">
        <f t="shared" ca="1" si="8"/>
        <v>46098.776940509262</v>
      </c>
    </row>
    <row r="146" spans="1:5" x14ac:dyDescent="0.3">
      <c r="A146" s="14" t="str">
        <v>TRX0210</v>
      </c>
      <c r="B146" s="16">
        <v>45537</v>
      </c>
      <c r="C146" s="19">
        <f t="shared" ca="1" si="6"/>
        <v>561</v>
      </c>
      <c r="D146" s="16">
        <f t="shared" si="7"/>
        <v>45565</v>
      </c>
      <c r="E146" s="20">
        <f t="shared" ca="1" si="8"/>
        <v>46098.776940509262</v>
      </c>
    </row>
    <row r="147" spans="1:5" x14ac:dyDescent="0.3">
      <c r="A147" s="14" t="str">
        <v>TRX0149</v>
      </c>
      <c r="B147" s="16">
        <v>45538</v>
      </c>
      <c r="C147" s="19">
        <f t="shared" ca="1" si="6"/>
        <v>560</v>
      </c>
      <c r="D147" s="16">
        <f t="shared" si="7"/>
        <v>45565</v>
      </c>
      <c r="E147" s="20">
        <f t="shared" ca="1" si="8"/>
        <v>46098.776940509262</v>
      </c>
    </row>
    <row r="148" spans="1:5" x14ac:dyDescent="0.3">
      <c r="A148" s="14" t="str">
        <v>TRX0073</v>
      </c>
      <c r="B148" s="16">
        <v>45539</v>
      </c>
      <c r="C148" s="19">
        <f t="shared" ca="1" si="6"/>
        <v>559</v>
      </c>
      <c r="D148" s="16">
        <f t="shared" si="7"/>
        <v>45565</v>
      </c>
      <c r="E148" s="20">
        <f t="shared" ca="1" si="8"/>
        <v>46098.776940509262</v>
      </c>
    </row>
    <row r="149" spans="1:5" x14ac:dyDescent="0.3">
      <c r="A149" s="14" t="str">
        <v>TRX0033</v>
      </c>
      <c r="B149" s="16">
        <v>45540</v>
      </c>
      <c r="C149" s="19">
        <f t="shared" ca="1" si="6"/>
        <v>558</v>
      </c>
      <c r="D149" s="16">
        <f t="shared" si="7"/>
        <v>45565</v>
      </c>
      <c r="E149" s="20">
        <f t="shared" ca="1" si="8"/>
        <v>46098.776940509262</v>
      </c>
    </row>
    <row r="150" spans="1:5" x14ac:dyDescent="0.3">
      <c r="A150" s="14" t="str">
        <v>TRX0160</v>
      </c>
      <c r="B150" s="16">
        <v>45541</v>
      </c>
      <c r="C150" s="19">
        <f t="shared" ca="1" si="6"/>
        <v>557</v>
      </c>
      <c r="D150" s="16">
        <f t="shared" si="7"/>
        <v>45565</v>
      </c>
      <c r="E150" s="20">
        <f t="shared" ca="1" si="8"/>
        <v>46098.776940509262</v>
      </c>
    </row>
    <row r="151" spans="1:5" x14ac:dyDescent="0.3">
      <c r="A151" s="14" t="str">
        <v>TRX0145</v>
      </c>
      <c r="B151" s="16">
        <v>45542</v>
      </c>
      <c r="C151" s="19">
        <f t="shared" ca="1" si="6"/>
        <v>556</v>
      </c>
      <c r="D151" s="16">
        <f t="shared" si="7"/>
        <v>45565</v>
      </c>
      <c r="E151" s="20">
        <f t="shared" ca="1" si="8"/>
        <v>46098.776940509262</v>
      </c>
    </row>
    <row r="152" spans="1:5" x14ac:dyDescent="0.3">
      <c r="A152" s="14" t="str">
        <v>TRX0148</v>
      </c>
      <c r="B152" s="16">
        <v>45543</v>
      </c>
      <c r="C152" s="19">
        <f t="shared" ca="1" si="6"/>
        <v>555</v>
      </c>
      <c r="D152" s="16">
        <f t="shared" si="7"/>
        <v>45565</v>
      </c>
      <c r="E152" s="20">
        <f t="shared" ca="1" si="8"/>
        <v>46098.776940509262</v>
      </c>
    </row>
    <row r="153" spans="1:5" x14ac:dyDescent="0.3">
      <c r="A153" s="14" t="str">
        <v>TRX0012</v>
      </c>
      <c r="B153" s="16">
        <v>45544</v>
      </c>
      <c r="C153" s="19">
        <f t="shared" ca="1" si="6"/>
        <v>554</v>
      </c>
      <c r="D153" s="16">
        <f t="shared" si="7"/>
        <v>45565</v>
      </c>
      <c r="E153" s="20">
        <f t="shared" ca="1" si="8"/>
        <v>46098.776940509262</v>
      </c>
    </row>
    <row r="154" spans="1:5" x14ac:dyDescent="0.3">
      <c r="A154" s="14" t="str">
        <v>TRX0206</v>
      </c>
      <c r="B154" s="16">
        <v>45545</v>
      </c>
      <c r="C154" s="19">
        <f t="shared" ca="1" si="6"/>
        <v>553</v>
      </c>
      <c r="D154" s="16">
        <f t="shared" si="7"/>
        <v>45565</v>
      </c>
      <c r="E154" s="20">
        <f t="shared" ca="1" si="8"/>
        <v>46098.776940509262</v>
      </c>
    </row>
    <row r="155" spans="1:5" x14ac:dyDescent="0.3">
      <c r="A155" s="14" t="str">
        <v>TRX0045</v>
      </c>
      <c r="B155" s="16">
        <v>45546</v>
      </c>
      <c r="C155" s="19">
        <f t="shared" ca="1" si="6"/>
        <v>552</v>
      </c>
      <c r="D155" s="16">
        <f t="shared" si="7"/>
        <v>45565</v>
      </c>
      <c r="E155" s="20">
        <f t="shared" ca="1" si="8"/>
        <v>46098.776940509262</v>
      </c>
    </row>
    <row r="156" spans="1:5" x14ac:dyDescent="0.3">
      <c r="A156" s="14" t="str">
        <v>TRX0094</v>
      </c>
      <c r="B156" s="16">
        <v>45547</v>
      </c>
      <c r="C156" s="19">
        <f t="shared" ca="1" si="6"/>
        <v>551</v>
      </c>
      <c r="D156" s="16">
        <f t="shared" si="7"/>
        <v>45565</v>
      </c>
      <c r="E156" s="20">
        <f t="shared" ca="1" si="8"/>
        <v>46098.776940509262</v>
      </c>
    </row>
    <row r="157" spans="1:5" x14ac:dyDescent="0.3">
      <c r="A157" s="14" t="str">
        <v>TRX0133</v>
      </c>
      <c r="B157" s="16">
        <v>45548</v>
      </c>
      <c r="C157" s="19">
        <f t="shared" ca="1" si="6"/>
        <v>550</v>
      </c>
      <c r="D157" s="16">
        <f t="shared" si="7"/>
        <v>45565</v>
      </c>
      <c r="E157" s="20">
        <f t="shared" ca="1" si="8"/>
        <v>46098.776940509262</v>
      </c>
    </row>
    <row r="158" spans="1:5" x14ac:dyDescent="0.3">
      <c r="A158" s="14" t="str">
        <v>TRX0201</v>
      </c>
      <c r="B158" s="16">
        <v>45549</v>
      </c>
      <c r="C158" s="19">
        <f t="shared" ca="1" si="6"/>
        <v>549</v>
      </c>
      <c r="D158" s="16">
        <f t="shared" si="7"/>
        <v>45565</v>
      </c>
      <c r="E158" s="20">
        <f t="shared" ca="1" si="8"/>
        <v>46098.776940509262</v>
      </c>
    </row>
    <row r="159" spans="1:5" x14ac:dyDescent="0.3">
      <c r="A159" s="14" t="str">
        <v>TRX0137</v>
      </c>
      <c r="B159" s="16">
        <v>45550</v>
      </c>
      <c r="C159" s="19">
        <f t="shared" ca="1" si="6"/>
        <v>548</v>
      </c>
      <c r="D159" s="16">
        <f t="shared" si="7"/>
        <v>45565</v>
      </c>
      <c r="E159" s="20">
        <f t="shared" ca="1" si="8"/>
        <v>46098.776940509262</v>
      </c>
    </row>
    <row r="160" spans="1:5" x14ac:dyDescent="0.3">
      <c r="A160" s="14" t="str">
        <v>TRX0066</v>
      </c>
      <c r="B160" s="16">
        <v>45551</v>
      </c>
      <c r="C160" s="19">
        <f t="shared" ca="1" si="6"/>
        <v>547</v>
      </c>
      <c r="D160" s="16">
        <f t="shared" si="7"/>
        <v>45565</v>
      </c>
      <c r="E160" s="20">
        <f t="shared" ca="1" si="8"/>
        <v>46098.776940509262</v>
      </c>
    </row>
    <row r="161" spans="1:5" x14ac:dyDescent="0.3">
      <c r="A161" s="14" t="str">
        <v>TRX0180</v>
      </c>
      <c r="B161" s="16">
        <v>45552</v>
      </c>
      <c r="C161" s="19">
        <f t="shared" ca="1" si="6"/>
        <v>546</v>
      </c>
      <c r="D161" s="16">
        <f t="shared" si="7"/>
        <v>45565</v>
      </c>
      <c r="E161" s="20">
        <f t="shared" ca="1" si="8"/>
        <v>46098.776940509262</v>
      </c>
    </row>
    <row r="162" spans="1:5" x14ac:dyDescent="0.3">
      <c r="A162" s="14" t="str">
        <v>TRX0082</v>
      </c>
      <c r="B162" s="16">
        <v>45553</v>
      </c>
      <c r="C162" s="19">
        <f t="shared" ca="1" si="6"/>
        <v>545</v>
      </c>
      <c r="D162" s="16">
        <f t="shared" si="7"/>
        <v>45565</v>
      </c>
      <c r="E162" s="20">
        <f t="shared" ca="1" si="8"/>
        <v>46098.776940509262</v>
      </c>
    </row>
    <row r="163" spans="1:5" x14ac:dyDescent="0.3">
      <c r="A163" s="14" t="str">
        <v>TRX0036</v>
      </c>
      <c r="B163" s="16">
        <v>45554</v>
      </c>
      <c r="C163" s="19">
        <f t="shared" ca="1" si="6"/>
        <v>544</v>
      </c>
      <c r="D163" s="16">
        <f t="shared" si="7"/>
        <v>45565</v>
      </c>
      <c r="E163" s="20">
        <f t="shared" ca="1" si="8"/>
        <v>46098.776940509262</v>
      </c>
    </row>
    <row r="164" spans="1:5" x14ac:dyDescent="0.3">
      <c r="A164" s="14" t="str">
        <v>TRX0198</v>
      </c>
      <c r="B164" s="16">
        <v>45555</v>
      </c>
      <c r="C164" s="19">
        <f t="shared" ca="1" si="6"/>
        <v>543</v>
      </c>
      <c r="D164" s="16">
        <f t="shared" si="7"/>
        <v>45565</v>
      </c>
      <c r="E164" s="20">
        <f t="shared" ca="1" si="8"/>
        <v>46098.776940509262</v>
      </c>
    </row>
    <row r="165" spans="1:5" x14ac:dyDescent="0.3">
      <c r="A165" s="14" t="str">
        <v>TRX0032</v>
      </c>
      <c r="B165" s="16">
        <v>45556</v>
      </c>
      <c r="C165" s="19">
        <f t="shared" ca="1" si="6"/>
        <v>542</v>
      </c>
      <c r="D165" s="16">
        <f t="shared" si="7"/>
        <v>45565</v>
      </c>
      <c r="E165" s="20">
        <f t="shared" ca="1" si="8"/>
        <v>46098.776940509262</v>
      </c>
    </row>
    <row r="166" spans="1:5" x14ac:dyDescent="0.3">
      <c r="A166" s="14" t="str">
        <v>TRX0081</v>
      </c>
      <c r="B166" s="16">
        <v>45557</v>
      </c>
      <c r="C166" s="19">
        <f t="shared" ca="1" si="6"/>
        <v>541</v>
      </c>
      <c r="D166" s="16">
        <f t="shared" si="7"/>
        <v>45565</v>
      </c>
      <c r="E166" s="20">
        <f t="shared" ca="1" si="8"/>
        <v>46098.776940509262</v>
      </c>
    </row>
    <row r="167" spans="1:5" x14ac:dyDescent="0.3">
      <c r="A167" s="14" t="str">
        <v>TRX0224</v>
      </c>
      <c r="B167" s="16">
        <v>45558</v>
      </c>
      <c r="C167" s="19">
        <f t="shared" ca="1" si="6"/>
        <v>540</v>
      </c>
      <c r="D167" s="16">
        <f t="shared" si="7"/>
        <v>45565</v>
      </c>
      <c r="E167" s="20">
        <f t="shared" ca="1" si="8"/>
        <v>46098.776940509262</v>
      </c>
    </row>
    <row r="168" spans="1:5" x14ac:dyDescent="0.3">
      <c r="A168" s="14" t="str">
        <v>TRX0028</v>
      </c>
      <c r="B168" s="16">
        <v>45559</v>
      </c>
      <c r="C168" s="19">
        <f t="shared" ca="1" si="6"/>
        <v>539</v>
      </c>
      <c r="D168" s="16">
        <f t="shared" si="7"/>
        <v>45565</v>
      </c>
      <c r="E168" s="20">
        <f t="shared" ca="1" si="8"/>
        <v>46098.776940509262</v>
      </c>
    </row>
    <row r="169" spans="1:5" x14ac:dyDescent="0.3">
      <c r="A169" s="14" t="str">
        <v>TRX0183</v>
      </c>
      <c r="B169" s="16">
        <v>45560</v>
      </c>
      <c r="C169" s="19">
        <f t="shared" ca="1" si="6"/>
        <v>538</v>
      </c>
      <c r="D169" s="16">
        <f t="shared" si="7"/>
        <v>45565</v>
      </c>
      <c r="E169" s="20">
        <f t="shared" ca="1" si="8"/>
        <v>46098.776940509262</v>
      </c>
    </row>
    <row r="170" spans="1:5" x14ac:dyDescent="0.3">
      <c r="A170" s="14" t="str">
        <v>TRX0163</v>
      </c>
      <c r="B170" s="16">
        <v>45561</v>
      </c>
      <c r="C170" s="19">
        <f t="shared" ca="1" si="6"/>
        <v>537</v>
      </c>
      <c r="D170" s="16">
        <f t="shared" si="7"/>
        <v>45565</v>
      </c>
      <c r="E170" s="20">
        <f t="shared" ca="1" si="8"/>
        <v>46098.776940509262</v>
      </c>
    </row>
    <row r="171" spans="1:5" x14ac:dyDescent="0.3">
      <c r="A171" s="14" t="str">
        <v>TRX0046</v>
      </c>
      <c r="B171" s="16">
        <v>45562</v>
      </c>
      <c r="C171" s="19">
        <f t="shared" ca="1" si="6"/>
        <v>536</v>
      </c>
      <c r="D171" s="16">
        <f t="shared" si="7"/>
        <v>45565</v>
      </c>
      <c r="E171" s="20">
        <f t="shared" ca="1" si="8"/>
        <v>46098.776940509262</v>
      </c>
    </row>
    <row r="172" spans="1:5" x14ac:dyDescent="0.3">
      <c r="A172" s="14" t="str">
        <v>TRX0164</v>
      </c>
      <c r="B172" s="16">
        <v>45563</v>
      </c>
      <c r="C172" s="19">
        <f t="shared" ca="1" si="6"/>
        <v>535</v>
      </c>
      <c r="D172" s="16">
        <f t="shared" si="7"/>
        <v>45565</v>
      </c>
      <c r="E172" s="20">
        <f t="shared" ca="1" si="8"/>
        <v>46098.776940509262</v>
      </c>
    </row>
    <row r="173" spans="1:5" x14ac:dyDescent="0.3">
      <c r="A173" s="14" t="str">
        <v>TRX0008</v>
      </c>
      <c r="B173" s="16">
        <v>45564</v>
      </c>
      <c r="C173" s="19">
        <f t="shared" ca="1" si="6"/>
        <v>534</v>
      </c>
      <c r="D173" s="16">
        <f t="shared" si="7"/>
        <v>45565</v>
      </c>
      <c r="E173" s="20">
        <f t="shared" ca="1" si="8"/>
        <v>46098.776940509262</v>
      </c>
    </row>
    <row r="174" spans="1:5" x14ac:dyDescent="0.3">
      <c r="A174" s="14" t="str">
        <v>TRX0171</v>
      </c>
      <c r="B174" s="16">
        <v>45565</v>
      </c>
      <c r="C174" s="19">
        <f t="shared" ca="1" si="6"/>
        <v>533</v>
      </c>
      <c r="D174" s="16">
        <f t="shared" si="7"/>
        <v>45565</v>
      </c>
      <c r="E174" s="20">
        <f t="shared" ca="1" si="8"/>
        <v>46098.776940509262</v>
      </c>
    </row>
    <row r="175" spans="1:5" x14ac:dyDescent="0.3">
      <c r="A175" s="14" t="str">
        <v>TRX0143</v>
      </c>
      <c r="B175" s="16">
        <v>45566</v>
      </c>
      <c r="C175" s="19">
        <f t="shared" ca="1" si="6"/>
        <v>532</v>
      </c>
      <c r="D175" s="16">
        <f t="shared" si="7"/>
        <v>45596</v>
      </c>
      <c r="E175" s="20">
        <f t="shared" ca="1" si="8"/>
        <v>46098.776940509262</v>
      </c>
    </row>
    <row r="176" spans="1:5" x14ac:dyDescent="0.3">
      <c r="A176" s="14" t="str">
        <v>TRX0165</v>
      </c>
      <c r="B176" s="16">
        <v>45567</v>
      </c>
      <c r="C176" s="19">
        <f t="shared" ca="1" si="6"/>
        <v>531</v>
      </c>
      <c r="D176" s="16">
        <f t="shared" si="7"/>
        <v>45596</v>
      </c>
      <c r="E176" s="20">
        <f t="shared" ca="1" si="8"/>
        <v>46098.776940509262</v>
      </c>
    </row>
    <row r="177" spans="1:5" x14ac:dyDescent="0.3">
      <c r="A177" s="14" t="str">
        <v>TRX0156</v>
      </c>
      <c r="B177" s="16">
        <v>45568</v>
      </c>
      <c r="C177" s="19">
        <f t="shared" ca="1" si="6"/>
        <v>530</v>
      </c>
      <c r="D177" s="16">
        <f t="shared" si="7"/>
        <v>45596</v>
      </c>
      <c r="E177" s="20">
        <f t="shared" ca="1" si="8"/>
        <v>46098.776940509262</v>
      </c>
    </row>
    <row r="178" spans="1:5" x14ac:dyDescent="0.3">
      <c r="A178" s="14" t="str">
        <v>TRX0147</v>
      </c>
      <c r="B178" s="16">
        <v>45569</v>
      </c>
      <c r="C178" s="19">
        <f t="shared" ca="1" si="6"/>
        <v>529</v>
      </c>
      <c r="D178" s="16">
        <f t="shared" si="7"/>
        <v>45596</v>
      </c>
      <c r="E178" s="20">
        <f t="shared" ca="1" si="8"/>
        <v>46098.776940509262</v>
      </c>
    </row>
    <row r="179" spans="1:5" x14ac:dyDescent="0.3">
      <c r="A179" s="14" t="str">
        <v>TRX0207</v>
      </c>
      <c r="B179" s="16">
        <v>45570</v>
      </c>
      <c r="C179" s="19">
        <f t="shared" ca="1" si="6"/>
        <v>528</v>
      </c>
      <c r="D179" s="16">
        <f t="shared" si="7"/>
        <v>45596</v>
      </c>
      <c r="E179" s="20">
        <f t="shared" ca="1" si="8"/>
        <v>46098.776940509262</v>
      </c>
    </row>
    <row r="180" spans="1:5" x14ac:dyDescent="0.3">
      <c r="A180" s="14" t="str">
        <v>TRX0056</v>
      </c>
      <c r="B180" s="16">
        <v>45571</v>
      </c>
      <c r="C180" s="19">
        <f t="shared" ca="1" si="6"/>
        <v>527</v>
      </c>
      <c r="D180" s="16">
        <f t="shared" si="7"/>
        <v>45596</v>
      </c>
      <c r="E180" s="20">
        <f t="shared" ca="1" si="8"/>
        <v>46098.776940509262</v>
      </c>
    </row>
    <row r="181" spans="1:5" x14ac:dyDescent="0.3">
      <c r="A181" s="14" t="str">
        <v>TRX0026</v>
      </c>
      <c r="B181" s="16">
        <v>45572</v>
      </c>
      <c r="C181" s="19">
        <f t="shared" ca="1" si="6"/>
        <v>526</v>
      </c>
      <c r="D181" s="16">
        <f t="shared" si="7"/>
        <v>45596</v>
      </c>
      <c r="E181" s="20">
        <f t="shared" ca="1" si="8"/>
        <v>46098.776940509262</v>
      </c>
    </row>
    <row r="182" spans="1:5" x14ac:dyDescent="0.3">
      <c r="A182" s="14" t="str">
        <v>TRX0237</v>
      </c>
      <c r="B182" s="16">
        <v>45573</v>
      </c>
      <c r="C182" s="19">
        <f t="shared" ca="1" si="6"/>
        <v>525</v>
      </c>
      <c r="D182" s="16">
        <f t="shared" si="7"/>
        <v>45596</v>
      </c>
      <c r="E182" s="20">
        <f t="shared" ca="1" si="8"/>
        <v>46098.776940509262</v>
      </c>
    </row>
    <row r="183" spans="1:5" x14ac:dyDescent="0.3">
      <c r="A183" s="14" t="str">
        <v>TRX0091</v>
      </c>
      <c r="B183" s="16">
        <v>45574</v>
      </c>
      <c r="C183" s="19">
        <f t="shared" ca="1" si="6"/>
        <v>524</v>
      </c>
      <c r="D183" s="16">
        <f t="shared" si="7"/>
        <v>45596</v>
      </c>
      <c r="E183" s="20">
        <f t="shared" ca="1" si="8"/>
        <v>46098.776940509262</v>
      </c>
    </row>
    <row r="184" spans="1:5" x14ac:dyDescent="0.3">
      <c r="A184" s="14" t="str">
        <v>TRX0125</v>
      </c>
      <c r="B184" s="16">
        <v>45575</v>
      </c>
      <c r="C184" s="19">
        <f t="shared" ca="1" si="6"/>
        <v>523</v>
      </c>
      <c r="D184" s="16">
        <f t="shared" si="7"/>
        <v>45596</v>
      </c>
      <c r="E184" s="20">
        <f t="shared" ca="1" si="8"/>
        <v>46098.776940509262</v>
      </c>
    </row>
    <row r="185" spans="1:5" x14ac:dyDescent="0.3">
      <c r="A185" s="14" t="str">
        <v>TRX0223</v>
      </c>
      <c r="B185" s="16">
        <v>45576</v>
      </c>
      <c r="C185" s="19">
        <f t="shared" ca="1" si="6"/>
        <v>522</v>
      </c>
      <c r="D185" s="16">
        <f t="shared" si="7"/>
        <v>45596</v>
      </c>
      <c r="E185" s="20">
        <f t="shared" ca="1" si="8"/>
        <v>46098.776940509262</v>
      </c>
    </row>
    <row r="186" spans="1:5" x14ac:dyDescent="0.3">
      <c r="A186" s="14" t="str">
        <v>TRX0243</v>
      </c>
      <c r="B186" s="16">
        <v>45577</v>
      </c>
      <c r="C186" s="19">
        <f t="shared" ca="1" si="6"/>
        <v>521</v>
      </c>
      <c r="D186" s="16">
        <f t="shared" si="7"/>
        <v>45596</v>
      </c>
      <c r="E186" s="20">
        <f t="shared" ca="1" si="8"/>
        <v>46098.776940509262</v>
      </c>
    </row>
    <row r="187" spans="1:5" x14ac:dyDescent="0.3">
      <c r="A187" s="14" t="str">
        <v>TRX0084</v>
      </c>
      <c r="B187" s="16">
        <v>45578</v>
      </c>
      <c r="C187" s="19">
        <f t="shared" ca="1" si="6"/>
        <v>520</v>
      </c>
      <c r="D187" s="16">
        <f t="shared" si="7"/>
        <v>45596</v>
      </c>
      <c r="E187" s="20">
        <f t="shared" ca="1" si="8"/>
        <v>46098.776940509262</v>
      </c>
    </row>
    <row r="188" spans="1:5" x14ac:dyDescent="0.3">
      <c r="A188" s="14" t="str">
        <v>TRX0238</v>
      </c>
      <c r="B188" s="16">
        <v>45579</v>
      </c>
      <c r="C188" s="19">
        <f t="shared" ca="1" si="6"/>
        <v>519</v>
      </c>
      <c r="D188" s="16">
        <f t="shared" si="7"/>
        <v>45596</v>
      </c>
      <c r="E188" s="20">
        <f t="shared" ca="1" si="8"/>
        <v>46098.776940509262</v>
      </c>
    </row>
    <row r="189" spans="1:5" x14ac:dyDescent="0.3">
      <c r="A189" s="14" t="str">
        <v>TRX0102</v>
      </c>
      <c r="B189" s="16">
        <v>45580</v>
      </c>
      <c r="C189" s="19">
        <f t="shared" ca="1" si="6"/>
        <v>518</v>
      </c>
      <c r="D189" s="16">
        <f t="shared" si="7"/>
        <v>45596</v>
      </c>
      <c r="E189" s="20">
        <f t="shared" ca="1" si="8"/>
        <v>46098.776940509262</v>
      </c>
    </row>
    <row r="190" spans="1:5" x14ac:dyDescent="0.3">
      <c r="A190" s="14" t="str">
        <v>TRX0022</v>
      </c>
      <c r="B190" s="16">
        <v>45581</v>
      </c>
      <c r="C190" s="19">
        <f t="shared" ca="1" si="6"/>
        <v>517</v>
      </c>
      <c r="D190" s="16">
        <f t="shared" si="7"/>
        <v>45596</v>
      </c>
      <c r="E190" s="20">
        <f t="shared" ca="1" si="8"/>
        <v>46098.776940509262</v>
      </c>
    </row>
    <row r="191" spans="1:5" x14ac:dyDescent="0.3">
      <c r="A191" s="14" t="str">
        <v>TRX0087</v>
      </c>
      <c r="B191" s="16">
        <v>45582</v>
      </c>
      <c r="C191" s="19">
        <f t="shared" ca="1" si="6"/>
        <v>516</v>
      </c>
      <c r="D191" s="16">
        <f t="shared" si="7"/>
        <v>45596</v>
      </c>
      <c r="E191" s="20">
        <f t="shared" ca="1" si="8"/>
        <v>46098.776940509262</v>
      </c>
    </row>
    <row r="192" spans="1:5" x14ac:dyDescent="0.3">
      <c r="A192" s="14" t="str">
        <v>TRX0107</v>
      </c>
      <c r="B192" s="16">
        <v>45583</v>
      </c>
      <c r="C192" s="19">
        <f t="shared" ca="1" si="6"/>
        <v>515</v>
      </c>
      <c r="D192" s="16">
        <f t="shared" si="7"/>
        <v>45596</v>
      </c>
      <c r="E192" s="20">
        <f t="shared" ca="1" si="8"/>
        <v>46098.776940509262</v>
      </c>
    </row>
    <row r="193" spans="1:5" x14ac:dyDescent="0.3">
      <c r="A193" s="14" t="str">
        <v>TRX0051</v>
      </c>
      <c r="B193" s="16">
        <v>45584</v>
      </c>
      <c r="C193" s="19">
        <f t="shared" ca="1" si="6"/>
        <v>514</v>
      </c>
      <c r="D193" s="16">
        <f t="shared" si="7"/>
        <v>45596</v>
      </c>
      <c r="E193" s="20">
        <f t="shared" ca="1" si="8"/>
        <v>46098.776940509262</v>
      </c>
    </row>
    <row r="194" spans="1:5" x14ac:dyDescent="0.3">
      <c r="A194" s="14" t="str">
        <v>TRX0106</v>
      </c>
      <c r="B194" s="16">
        <v>45585</v>
      </c>
      <c r="C194" s="19">
        <f t="shared" ca="1" si="6"/>
        <v>513</v>
      </c>
      <c r="D194" s="16">
        <f t="shared" si="7"/>
        <v>45596</v>
      </c>
      <c r="E194" s="20">
        <f t="shared" ca="1" si="8"/>
        <v>46098.776940509262</v>
      </c>
    </row>
    <row r="195" spans="1:5" x14ac:dyDescent="0.3">
      <c r="A195" s="14" t="str">
        <v>TRX0059</v>
      </c>
      <c r="B195" s="16">
        <v>45586</v>
      </c>
      <c r="C195" s="19">
        <f t="shared" ref="C195:C251" ca="1" si="9">TODAY()-B195</f>
        <v>512</v>
      </c>
      <c r="D195" s="16">
        <f t="shared" ref="D195:D251" si="10">EOMONTH(B195,0)</f>
        <v>45596</v>
      </c>
      <c r="E195" s="20">
        <f t="shared" ref="E195:E251" ca="1" si="11">NOW()</f>
        <v>46098.776940509262</v>
      </c>
    </row>
    <row r="196" spans="1:5" x14ac:dyDescent="0.3">
      <c r="A196" s="14" t="str">
        <v>TRX0072</v>
      </c>
      <c r="B196" s="16">
        <v>45587</v>
      </c>
      <c r="C196" s="19">
        <f t="shared" ca="1" si="9"/>
        <v>511</v>
      </c>
      <c r="D196" s="16">
        <f t="shared" si="10"/>
        <v>45596</v>
      </c>
      <c r="E196" s="20">
        <f t="shared" ca="1" si="11"/>
        <v>46098.776940509262</v>
      </c>
    </row>
    <row r="197" spans="1:5" x14ac:dyDescent="0.3">
      <c r="A197" s="14" t="str">
        <v>TRX0110</v>
      </c>
      <c r="B197" s="16">
        <v>45588</v>
      </c>
      <c r="C197" s="19">
        <f t="shared" ca="1" si="9"/>
        <v>510</v>
      </c>
      <c r="D197" s="16">
        <f t="shared" si="10"/>
        <v>45596</v>
      </c>
      <c r="E197" s="20">
        <f t="shared" ca="1" si="11"/>
        <v>46098.776940509262</v>
      </c>
    </row>
    <row r="198" spans="1:5" x14ac:dyDescent="0.3">
      <c r="A198" s="14" t="str">
        <v>TRX0126</v>
      </c>
      <c r="B198" s="16">
        <v>45589</v>
      </c>
      <c r="C198" s="19">
        <f t="shared" ca="1" si="9"/>
        <v>509</v>
      </c>
      <c r="D198" s="16">
        <f t="shared" si="10"/>
        <v>45596</v>
      </c>
      <c r="E198" s="20">
        <f t="shared" ca="1" si="11"/>
        <v>46098.776940509262</v>
      </c>
    </row>
    <row r="199" spans="1:5" x14ac:dyDescent="0.3">
      <c r="A199" s="14" t="str">
        <v>TRX0159</v>
      </c>
      <c r="B199" s="16">
        <v>45590</v>
      </c>
      <c r="C199" s="19">
        <f t="shared" ca="1" si="9"/>
        <v>508</v>
      </c>
      <c r="D199" s="16">
        <f t="shared" si="10"/>
        <v>45596</v>
      </c>
      <c r="E199" s="20">
        <f t="shared" ca="1" si="11"/>
        <v>46098.776940509262</v>
      </c>
    </row>
    <row r="200" spans="1:5" x14ac:dyDescent="0.3">
      <c r="A200" s="14" t="str">
        <v>TRX0030</v>
      </c>
      <c r="B200" s="16">
        <v>45591</v>
      </c>
      <c r="C200" s="19">
        <f t="shared" ca="1" si="9"/>
        <v>507</v>
      </c>
      <c r="D200" s="16">
        <f t="shared" si="10"/>
        <v>45596</v>
      </c>
      <c r="E200" s="20">
        <f t="shared" ca="1" si="11"/>
        <v>46098.776940509262</v>
      </c>
    </row>
    <row r="201" spans="1:5" x14ac:dyDescent="0.3">
      <c r="A201" s="14" t="str">
        <v>TRX0178</v>
      </c>
      <c r="B201" s="16">
        <v>45592</v>
      </c>
      <c r="C201" s="19">
        <f t="shared" ca="1" si="9"/>
        <v>506</v>
      </c>
      <c r="D201" s="16">
        <f t="shared" si="10"/>
        <v>45596</v>
      </c>
      <c r="E201" s="20">
        <f t="shared" ca="1" si="11"/>
        <v>46098.776940509262</v>
      </c>
    </row>
    <row r="202" spans="1:5" x14ac:dyDescent="0.3">
      <c r="A202" s="14" t="str">
        <v>TRX0188</v>
      </c>
      <c r="B202" s="16">
        <v>45593</v>
      </c>
      <c r="C202" s="19">
        <f t="shared" ca="1" si="9"/>
        <v>505</v>
      </c>
      <c r="D202" s="16">
        <f t="shared" si="10"/>
        <v>45596</v>
      </c>
      <c r="E202" s="20">
        <f t="shared" ca="1" si="11"/>
        <v>46098.776940509262</v>
      </c>
    </row>
    <row r="203" spans="1:5" x14ac:dyDescent="0.3">
      <c r="A203" s="14" t="str">
        <v>TRX0010</v>
      </c>
      <c r="B203" s="16">
        <v>45594</v>
      </c>
      <c r="C203" s="19">
        <f t="shared" ca="1" si="9"/>
        <v>504</v>
      </c>
      <c r="D203" s="16">
        <f t="shared" si="10"/>
        <v>45596</v>
      </c>
      <c r="E203" s="20">
        <f t="shared" ca="1" si="11"/>
        <v>46098.776940509262</v>
      </c>
    </row>
    <row r="204" spans="1:5" x14ac:dyDescent="0.3">
      <c r="A204" s="14" t="str">
        <v>TRX0069</v>
      </c>
      <c r="B204" s="16">
        <v>45595</v>
      </c>
      <c r="C204" s="19">
        <f t="shared" ca="1" si="9"/>
        <v>503</v>
      </c>
      <c r="D204" s="16">
        <f t="shared" si="10"/>
        <v>45596</v>
      </c>
      <c r="E204" s="20">
        <f t="shared" ca="1" si="11"/>
        <v>46098.776940509262</v>
      </c>
    </row>
    <row r="205" spans="1:5" x14ac:dyDescent="0.3">
      <c r="A205" s="14" t="str">
        <v>TRX0166</v>
      </c>
      <c r="B205" s="16">
        <v>45596</v>
      </c>
      <c r="C205" s="19">
        <f t="shared" ca="1" si="9"/>
        <v>502</v>
      </c>
      <c r="D205" s="16">
        <f t="shared" si="10"/>
        <v>45596</v>
      </c>
      <c r="E205" s="20">
        <f t="shared" ca="1" si="11"/>
        <v>46098.776940509262</v>
      </c>
    </row>
    <row r="206" spans="1:5" x14ac:dyDescent="0.3">
      <c r="A206" s="14" t="str">
        <v>TRX0219</v>
      </c>
      <c r="B206" s="16">
        <v>45597</v>
      </c>
      <c r="C206" s="19">
        <f t="shared" ca="1" si="9"/>
        <v>501</v>
      </c>
      <c r="D206" s="16">
        <f t="shared" si="10"/>
        <v>45626</v>
      </c>
      <c r="E206" s="20">
        <f t="shared" ca="1" si="11"/>
        <v>46098.776940509262</v>
      </c>
    </row>
    <row r="207" spans="1:5" x14ac:dyDescent="0.3">
      <c r="A207" s="14" t="str">
        <v>TRX0024</v>
      </c>
      <c r="B207" s="16">
        <v>45598</v>
      </c>
      <c r="C207" s="19">
        <f t="shared" ca="1" si="9"/>
        <v>500</v>
      </c>
      <c r="D207" s="16">
        <f t="shared" si="10"/>
        <v>45626</v>
      </c>
      <c r="E207" s="20">
        <f t="shared" ca="1" si="11"/>
        <v>46098.776940509262</v>
      </c>
    </row>
    <row r="208" spans="1:5" x14ac:dyDescent="0.3">
      <c r="A208" s="14" t="str">
        <v>TRX0105</v>
      </c>
      <c r="B208" s="16">
        <v>45599</v>
      </c>
      <c r="C208" s="19">
        <f t="shared" ca="1" si="9"/>
        <v>499</v>
      </c>
      <c r="D208" s="16">
        <f t="shared" si="10"/>
        <v>45626</v>
      </c>
      <c r="E208" s="20">
        <f t="shared" ca="1" si="11"/>
        <v>46098.776940509262</v>
      </c>
    </row>
    <row r="209" spans="1:5" x14ac:dyDescent="0.3">
      <c r="A209" s="14" t="str">
        <v>TRX0011</v>
      </c>
      <c r="B209" s="16">
        <v>45600</v>
      </c>
      <c r="C209" s="19">
        <f t="shared" ca="1" si="9"/>
        <v>498</v>
      </c>
      <c r="D209" s="16">
        <f t="shared" si="10"/>
        <v>45626</v>
      </c>
      <c r="E209" s="20">
        <f t="shared" ca="1" si="11"/>
        <v>46098.776940509262</v>
      </c>
    </row>
    <row r="210" spans="1:5" x14ac:dyDescent="0.3">
      <c r="A210" s="14" t="str">
        <v>TRX0187</v>
      </c>
      <c r="B210" s="16">
        <v>45601</v>
      </c>
      <c r="C210" s="19">
        <f t="shared" ca="1" si="9"/>
        <v>497</v>
      </c>
      <c r="D210" s="16">
        <f t="shared" si="10"/>
        <v>45626</v>
      </c>
      <c r="E210" s="20">
        <f t="shared" ca="1" si="11"/>
        <v>46098.776940509262</v>
      </c>
    </row>
    <row r="211" spans="1:5" x14ac:dyDescent="0.3">
      <c r="A211" s="14" t="str">
        <v>TRX0089</v>
      </c>
      <c r="B211" s="16">
        <v>45602</v>
      </c>
      <c r="C211" s="19">
        <f t="shared" ca="1" si="9"/>
        <v>496</v>
      </c>
      <c r="D211" s="16">
        <f t="shared" si="10"/>
        <v>45626</v>
      </c>
      <c r="E211" s="20">
        <f t="shared" ca="1" si="11"/>
        <v>46098.776940509262</v>
      </c>
    </row>
    <row r="212" spans="1:5" x14ac:dyDescent="0.3">
      <c r="A212" s="14" t="str">
        <v>TRX0196</v>
      </c>
      <c r="B212" s="16">
        <v>45603</v>
      </c>
      <c r="C212" s="19">
        <f t="shared" ca="1" si="9"/>
        <v>495</v>
      </c>
      <c r="D212" s="16">
        <f t="shared" si="10"/>
        <v>45626</v>
      </c>
      <c r="E212" s="20">
        <f t="shared" ca="1" si="11"/>
        <v>46098.776940509262</v>
      </c>
    </row>
    <row r="213" spans="1:5" x14ac:dyDescent="0.3">
      <c r="A213" s="14" t="str">
        <v>TRX0118</v>
      </c>
      <c r="B213" s="16">
        <v>45604</v>
      </c>
      <c r="C213" s="19">
        <f t="shared" ca="1" si="9"/>
        <v>494</v>
      </c>
      <c r="D213" s="16">
        <f t="shared" si="10"/>
        <v>45626</v>
      </c>
      <c r="E213" s="20">
        <f t="shared" ca="1" si="11"/>
        <v>46098.776940509262</v>
      </c>
    </row>
    <row r="214" spans="1:5" x14ac:dyDescent="0.3">
      <c r="A214" s="14" t="str">
        <v>TRX0179</v>
      </c>
      <c r="B214" s="16">
        <v>45605</v>
      </c>
      <c r="C214" s="19">
        <f t="shared" ca="1" si="9"/>
        <v>493</v>
      </c>
      <c r="D214" s="16">
        <f t="shared" si="10"/>
        <v>45626</v>
      </c>
      <c r="E214" s="20">
        <f t="shared" ca="1" si="11"/>
        <v>46098.776940509262</v>
      </c>
    </row>
    <row r="215" spans="1:5" x14ac:dyDescent="0.3">
      <c r="A215" s="14" t="str">
        <v>TRX0168</v>
      </c>
      <c r="B215" s="16">
        <v>45606</v>
      </c>
      <c r="C215" s="19">
        <f t="shared" ca="1" si="9"/>
        <v>492</v>
      </c>
      <c r="D215" s="16">
        <f t="shared" si="10"/>
        <v>45626</v>
      </c>
      <c r="E215" s="20">
        <f t="shared" ca="1" si="11"/>
        <v>46098.776940509262</v>
      </c>
    </row>
    <row r="216" spans="1:5" x14ac:dyDescent="0.3">
      <c r="A216" s="14" t="str">
        <v>TRX0214</v>
      </c>
      <c r="B216" s="16">
        <v>45607</v>
      </c>
      <c r="C216" s="19">
        <f t="shared" ca="1" si="9"/>
        <v>491</v>
      </c>
      <c r="D216" s="16">
        <f t="shared" si="10"/>
        <v>45626</v>
      </c>
      <c r="E216" s="20">
        <f t="shared" ca="1" si="11"/>
        <v>46098.776940509262</v>
      </c>
    </row>
    <row r="217" spans="1:5" x14ac:dyDescent="0.3">
      <c r="A217" s="14" t="str">
        <v>TRX0221</v>
      </c>
      <c r="B217" s="16">
        <v>45608</v>
      </c>
      <c r="C217" s="19">
        <f t="shared" ca="1" si="9"/>
        <v>490</v>
      </c>
      <c r="D217" s="16">
        <f t="shared" si="10"/>
        <v>45626</v>
      </c>
      <c r="E217" s="20">
        <f t="shared" ca="1" si="11"/>
        <v>46098.776940509262</v>
      </c>
    </row>
    <row r="218" spans="1:5" x14ac:dyDescent="0.3">
      <c r="A218" s="14" t="str">
        <v>TRX0083</v>
      </c>
      <c r="B218" s="16">
        <v>45609</v>
      </c>
      <c r="C218" s="19">
        <f t="shared" ca="1" si="9"/>
        <v>489</v>
      </c>
      <c r="D218" s="16">
        <f t="shared" si="10"/>
        <v>45626</v>
      </c>
      <c r="E218" s="20">
        <f t="shared" ca="1" si="11"/>
        <v>46098.776940509262</v>
      </c>
    </row>
    <row r="219" spans="1:5" x14ac:dyDescent="0.3">
      <c r="A219" s="14" t="str">
        <v>TRX0151</v>
      </c>
      <c r="B219" s="16">
        <v>45610</v>
      </c>
      <c r="C219" s="19">
        <f t="shared" ca="1" si="9"/>
        <v>488</v>
      </c>
      <c r="D219" s="16">
        <f t="shared" si="10"/>
        <v>45626</v>
      </c>
      <c r="E219" s="20">
        <f t="shared" ca="1" si="11"/>
        <v>46098.776940509262</v>
      </c>
    </row>
    <row r="220" spans="1:5" x14ac:dyDescent="0.3">
      <c r="A220" s="14" t="str">
        <v>TRX0047</v>
      </c>
      <c r="B220" s="16">
        <v>45611</v>
      </c>
      <c r="C220" s="19">
        <f t="shared" ca="1" si="9"/>
        <v>487</v>
      </c>
      <c r="D220" s="16">
        <f t="shared" si="10"/>
        <v>45626</v>
      </c>
      <c r="E220" s="20">
        <f t="shared" ca="1" si="11"/>
        <v>46098.776940509262</v>
      </c>
    </row>
    <row r="221" spans="1:5" x14ac:dyDescent="0.3">
      <c r="A221" s="14" t="str">
        <v>TRX0200</v>
      </c>
      <c r="B221" s="16">
        <v>45612</v>
      </c>
      <c r="C221" s="19">
        <f t="shared" ca="1" si="9"/>
        <v>486</v>
      </c>
      <c r="D221" s="16">
        <f t="shared" si="10"/>
        <v>45626</v>
      </c>
      <c r="E221" s="20">
        <f t="shared" ca="1" si="11"/>
        <v>46098.776940509262</v>
      </c>
    </row>
    <row r="222" spans="1:5" x14ac:dyDescent="0.3">
      <c r="A222" s="14" t="str">
        <v>TRX0062</v>
      </c>
      <c r="B222" s="16">
        <v>45613</v>
      </c>
      <c r="C222" s="19">
        <f t="shared" ca="1" si="9"/>
        <v>485</v>
      </c>
      <c r="D222" s="16">
        <f t="shared" si="10"/>
        <v>45626</v>
      </c>
      <c r="E222" s="20">
        <f t="shared" ca="1" si="11"/>
        <v>46098.776940509262</v>
      </c>
    </row>
    <row r="223" spans="1:5" x14ac:dyDescent="0.3">
      <c r="A223" s="14" t="str">
        <v>TRX0182</v>
      </c>
      <c r="B223" s="16">
        <v>45614</v>
      </c>
      <c r="C223" s="19">
        <f t="shared" ca="1" si="9"/>
        <v>484</v>
      </c>
      <c r="D223" s="16">
        <f t="shared" si="10"/>
        <v>45626</v>
      </c>
      <c r="E223" s="20">
        <f t="shared" ca="1" si="11"/>
        <v>46098.776940509262</v>
      </c>
    </row>
    <row r="224" spans="1:5" x14ac:dyDescent="0.3">
      <c r="A224" s="14" t="str">
        <v>TRX0229</v>
      </c>
      <c r="B224" s="16">
        <v>45615</v>
      </c>
      <c r="C224" s="19">
        <f t="shared" ca="1" si="9"/>
        <v>483</v>
      </c>
      <c r="D224" s="16">
        <f t="shared" si="10"/>
        <v>45626</v>
      </c>
      <c r="E224" s="20">
        <f t="shared" ca="1" si="11"/>
        <v>46098.776940509262</v>
      </c>
    </row>
    <row r="225" spans="1:5" x14ac:dyDescent="0.3">
      <c r="A225" s="14" t="str">
        <v>TRX0048</v>
      </c>
      <c r="B225" s="16">
        <v>45616</v>
      </c>
      <c r="C225" s="19">
        <f t="shared" ca="1" si="9"/>
        <v>482</v>
      </c>
      <c r="D225" s="16">
        <f t="shared" si="10"/>
        <v>45626</v>
      </c>
      <c r="E225" s="20">
        <f t="shared" ca="1" si="11"/>
        <v>46098.776940509262</v>
      </c>
    </row>
    <row r="226" spans="1:5" x14ac:dyDescent="0.3">
      <c r="A226" s="14" t="str">
        <v>TRX0227</v>
      </c>
      <c r="B226" s="16">
        <v>45617</v>
      </c>
      <c r="C226" s="19">
        <f t="shared" ca="1" si="9"/>
        <v>481</v>
      </c>
      <c r="D226" s="16">
        <f t="shared" si="10"/>
        <v>45626</v>
      </c>
      <c r="E226" s="20">
        <f t="shared" ca="1" si="11"/>
        <v>46098.776940509262</v>
      </c>
    </row>
    <row r="227" spans="1:5" x14ac:dyDescent="0.3">
      <c r="A227" s="14" t="str">
        <v>TRX0226</v>
      </c>
      <c r="B227" s="16">
        <v>45618</v>
      </c>
      <c r="C227" s="19">
        <f t="shared" ca="1" si="9"/>
        <v>480</v>
      </c>
      <c r="D227" s="16">
        <f t="shared" si="10"/>
        <v>45626</v>
      </c>
      <c r="E227" s="20">
        <f t="shared" ca="1" si="11"/>
        <v>46098.776940509262</v>
      </c>
    </row>
    <row r="228" spans="1:5" x14ac:dyDescent="0.3">
      <c r="A228" s="14" t="str">
        <v>TRX0053</v>
      </c>
      <c r="B228" s="16">
        <v>45619</v>
      </c>
      <c r="C228" s="19">
        <f t="shared" ca="1" si="9"/>
        <v>479</v>
      </c>
      <c r="D228" s="16">
        <f t="shared" si="10"/>
        <v>45626</v>
      </c>
      <c r="E228" s="20">
        <f t="shared" ca="1" si="11"/>
        <v>46098.776940509262</v>
      </c>
    </row>
    <row r="229" spans="1:5" x14ac:dyDescent="0.3">
      <c r="A229" s="14" t="str">
        <v>TRX0233</v>
      </c>
      <c r="B229" s="16">
        <v>45620</v>
      </c>
      <c r="C229" s="19">
        <f t="shared" ca="1" si="9"/>
        <v>478</v>
      </c>
      <c r="D229" s="16">
        <f t="shared" si="10"/>
        <v>45626</v>
      </c>
      <c r="E229" s="20">
        <f t="shared" ca="1" si="11"/>
        <v>46098.776940509262</v>
      </c>
    </row>
    <row r="230" spans="1:5" x14ac:dyDescent="0.3">
      <c r="A230" s="14" t="str">
        <v>TRX0175</v>
      </c>
      <c r="B230" s="16">
        <v>45621</v>
      </c>
      <c r="C230" s="19">
        <f t="shared" ca="1" si="9"/>
        <v>477</v>
      </c>
      <c r="D230" s="16">
        <f t="shared" si="10"/>
        <v>45626</v>
      </c>
      <c r="E230" s="20">
        <f t="shared" ca="1" si="11"/>
        <v>46098.776940509262</v>
      </c>
    </row>
    <row r="231" spans="1:5" x14ac:dyDescent="0.3">
      <c r="A231" s="14" t="str">
        <v>TRX0186</v>
      </c>
      <c r="B231" s="16">
        <v>45622</v>
      </c>
      <c r="C231" s="19">
        <f t="shared" ca="1" si="9"/>
        <v>476</v>
      </c>
      <c r="D231" s="16">
        <f t="shared" si="10"/>
        <v>45626</v>
      </c>
      <c r="E231" s="20">
        <f t="shared" ca="1" si="11"/>
        <v>46098.776940509262</v>
      </c>
    </row>
    <row r="232" spans="1:5" x14ac:dyDescent="0.3">
      <c r="A232" s="14" t="str">
        <v>TRX0016</v>
      </c>
      <c r="B232" s="16">
        <v>45623</v>
      </c>
      <c r="C232" s="19">
        <f t="shared" ca="1" si="9"/>
        <v>475</v>
      </c>
      <c r="D232" s="16">
        <f t="shared" si="10"/>
        <v>45626</v>
      </c>
      <c r="E232" s="20">
        <f t="shared" ca="1" si="11"/>
        <v>46098.776940509262</v>
      </c>
    </row>
    <row r="233" spans="1:5" x14ac:dyDescent="0.3">
      <c r="A233" s="14" t="str">
        <v>TRX0199</v>
      </c>
      <c r="B233" s="16">
        <v>45624</v>
      </c>
      <c r="C233" s="19">
        <f t="shared" ca="1" si="9"/>
        <v>474</v>
      </c>
      <c r="D233" s="16">
        <f t="shared" si="10"/>
        <v>45626</v>
      </c>
      <c r="E233" s="20">
        <f t="shared" ca="1" si="11"/>
        <v>46098.776940509262</v>
      </c>
    </row>
    <row r="234" spans="1:5" x14ac:dyDescent="0.3">
      <c r="A234" s="14" t="str">
        <v>TRX0038</v>
      </c>
      <c r="B234" s="16">
        <v>45625</v>
      </c>
      <c r="C234" s="19">
        <f t="shared" ca="1" si="9"/>
        <v>473</v>
      </c>
      <c r="D234" s="16">
        <f t="shared" si="10"/>
        <v>45626</v>
      </c>
      <c r="E234" s="20">
        <f t="shared" ca="1" si="11"/>
        <v>46098.776940509262</v>
      </c>
    </row>
    <row r="235" spans="1:5" x14ac:dyDescent="0.3">
      <c r="A235" s="14" t="str">
        <v>TRX0014</v>
      </c>
      <c r="B235" s="16">
        <v>45626</v>
      </c>
      <c r="C235" s="19">
        <f t="shared" ca="1" si="9"/>
        <v>472</v>
      </c>
      <c r="D235" s="16">
        <f t="shared" si="10"/>
        <v>45626</v>
      </c>
      <c r="E235" s="20">
        <f t="shared" ca="1" si="11"/>
        <v>46098.776940509262</v>
      </c>
    </row>
    <row r="236" spans="1:5" x14ac:dyDescent="0.3">
      <c r="A236" s="14" t="str">
        <v>TRX0003</v>
      </c>
      <c r="B236" s="16">
        <v>45627</v>
      </c>
      <c r="C236" s="19">
        <f t="shared" ca="1" si="9"/>
        <v>471</v>
      </c>
      <c r="D236" s="16">
        <f t="shared" si="10"/>
        <v>45657</v>
      </c>
      <c r="E236" s="20">
        <f t="shared" ca="1" si="11"/>
        <v>46098.776940509262</v>
      </c>
    </row>
    <row r="237" spans="1:5" x14ac:dyDescent="0.3">
      <c r="A237" s="14" t="str">
        <v>TRX0124</v>
      </c>
      <c r="B237" s="16">
        <v>45628</v>
      </c>
      <c r="C237" s="19">
        <f t="shared" ca="1" si="9"/>
        <v>470</v>
      </c>
      <c r="D237" s="16">
        <f t="shared" si="10"/>
        <v>45657</v>
      </c>
      <c r="E237" s="20">
        <f t="shared" ca="1" si="11"/>
        <v>46098.776940509262</v>
      </c>
    </row>
    <row r="238" spans="1:5" x14ac:dyDescent="0.3">
      <c r="A238" s="14" t="str">
        <v>TRX0013</v>
      </c>
      <c r="B238" s="16">
        <v>45629</v>
      </c>
      <c r="C238" s="19">
        <f t="shared" ca="1" si="9"/>
        <v>469</v>
      </c>
      <c r="D238" s="16">
        <f t="shared" si="10"/>
        <v>45657</v>
      </c>
      <c r="E238" s="20">
        <f t="shared" ca="1" si="11"/>
        <v>46098.776940509262</v>
      </c>
    </row>
    <row r="239" spans="1:5" x14ac:dyDescent="0.3">
      <c r="A239" s="14" t="str">
        <v>TRX0019</v>
      </c>
      <c r="B239" s="16">
        <v>45630</v>
      </c>
      <c r="C239" s="19">
        <f t="shared" ca="1" si="9"/>
        <v>468</v>
      </c>
      <c r="D239" s="16">
        <f t="shared" si="10"/>
        <v>45657</v>
      </c>
      <c r="E239" s="20">
        <f t="shared" ca="1" si="11"/>
        <v>46098.776940509262</v>
      </c>
    </row>
    <row r="240" spans="1:5" x14ac:dyDescent="0.3">
      <c r="A240" s="14" t="str">
        <v>TRX0050</v>
      </c>
      <c r="B240" s="16">
        <v>45631</v>
      </c>
      <c r="C240" s="19">
        <f t="shared" ca="1" si="9"/>
        <v>467</v>
      </c>
      <c r="D240" s="16">
        <f t="shared" si="10"/>
        <v>45657</v>
      </c>
      <c r="E240" s="20">
        <f t="shared" ca="1" si="11"/>
        <v>46098.776940509262</v>
      </c>
    </row>
    <row r="241" spans="1:5" x14ac:dyDescent="0.3">
      <c r="A241" s="14" t="str">
        <v>TRX0152</v>
      </c>
      <c r="B241" s="16">
        <v>45632</v>
      </c>
      <c r="C241" s="19">
        <f t="shared" ca="1" si="9"/>
        <v>466</v>
      </c>
      <c r="D241" s="16">
        <f t="shared" si="10"/>
        <v>45657</v>
      </c>
      <c r="E241" s="20">
        <f t="shared" ca="1" si="11"/>
        <v>46098.776940509262</v>
      </c>
    </row>
    <row r="242" spans="1:5" x14ac:dyDescent="0.3">
      <c r="A242" s="14" t="str">
        <v>TRX0213</v>
      </c>
      <c r="B242" s="16">
        <v>45633</v>
      </c>
      <c r="C242" s="19">
        <f t="shared" ca="1" si="9"/>
        <v>465</v>
      </c>
      <c r="D242" s="16">
        <f t="shared" si="10"/>
        <v>45657</v>
      </c>
      <c r="E242" s="20">
        <f t="shared" ca="1" si="11"/>
        <v>46098.776940509262</v>
      </c>
    </row>
    <row r="243" spans="1:5" x14ac:dyDescent="0.3">
      <c r="A243" s="14" t="str">
        <v>TRX0197</v>
      </c>
      <c r="B243" s="16">
        <v>45634</v>
      </c>
      <c r="C243" s="19">
        <f t="shared" ca="1" si="9"/>
        <v>464</v>
      </c>
      <c r="D243" s="16">
        <f t="shared" si="10"/>
        <v>45657</v>
      </c>
      <c r="E243" s="20">
        <f t="shared" ca="1" si="11"/>
        <v>46098.776940509262</v>
      </c>
    </row>
    <row r="244" spans="1:5" x14ac:dyDescent="0.3">
      <c r="A244" s="14" t="str">
        <v>TRX0250</v>
      </c>
      <c r="B244" s="16">
        <v>45635</v>
      </c>
      <c r="C244" s="19">
        <f t="shared" ca="1" si="9"/>
        <v>463</v>
      </c>
      <c r="D244" s="16">
        <f t="shared" si="10"/>
        <v>45657</v>
      </c>
      <c r="E244" s="20">
        <f t="shared" ca="1" si="11"/>
        <v>46098.776940509262</v>
      </c>
    </row>
    <row r="245" spans="1:5" x14ac:dyDescent="0.3">
      <c r="A245" s="14" t="str">
        <v>TRX0068</v>
      </c>
      <c r="B245" s="16">
        <v>45636</v>
      </c>
      <c r="C245" s="19">
        <f t="shared" ca="1" si="9"/>
        <v>462</v>
      </c>
      <c r="D245" s="16">
        <f t="shared" si="10"/>
        <v>45657</v>
      </c>
      <c r="E245" s="20">
        <f t="shared" ca="1" si="11"/>
        <v>46098.776940509262</v>
      </c>
    </row>
    <row r="246" spans="1:5" x14ac:dyDescent="0.3">
      <c r="A246" s="14" t="str">
        <v>TRX0144</v>
      </c>
      <c r="B246" s="16">
        <v>45637</v>
      </c>
      <c r="C246" s="19">
        <f t="shared" ca="1" si="9"/>
        <v>461</v>
      </c>
      <c r="D246" s="16">
        <f t="shared" si="10"/>
        <v>45657</v>
      </c>
      <c r="E246" s="20">
        <f t="shared" ca="1" si="11"/>
        <v>46098.776940509262</v>
      </c>
    </row>
    <row r="247" spans="1:5" x14ac:dyDescent="0.3">
      <c r="A247" s="14" t="str">
        <v>TRX0039</v>
      </c>
      <c r="B247" s="16">
        <v>45638</v>
      </c>
      <c r="C247" s="19">
        <f t="shared" ca="1" si="9"/>
        <v>460</v>
      </c>
      <c r="D247" s="16">
        <f t="shared" si="10"/>
        <v>45657</v>
      </c>
      <c r="E247" s="20">
        <f t="shared" ca="1" si="11"/>
        <v>46098.776940509262</v>
      </c>
    </row>
    <row r="248" spans="1:5" x14ac:dyDescent="0.3">
      <c r="A248" s="14" t="str">
        <v>TRX0116</v>
      </c>
      <c r="B248" s="16">
        <v>45639</v>
      </c>
      <c r="C248" s="19">
        <f t="shared" ca="1" si="9"/>
        <v>459</v>
      </c>
      <c r="D248" s="16">
        <f t="shared" si="10"/>
        <v>45657</v>
      </c>
      <c r="E248" s="20">
        <f t="shared" ca="1" si="11"/>
        <v>46098.776940509262</v>
      </c>
    </row>
    <row r="249" spans="1:5" x14ac:dyDescent="0.3">
      <c r="A249" s="14" t="str">
        <v>TRX0120</v>
      </c>
      <c r="B249" s="16">
        <v>45640</v>
      </c>
      <c r="C249" s="19">
        <f t="shared" ca="1" si="9"/>
        <v>458</v>
      </c>
      <c r="D249" s="16">
        <f t="shared" si="10"/>
        <v>45657</v>
      </c>
      <c r="E249" s="20">
        <f t="shared" ca="1" si="11"/>
        <v>46098.776940509262</v>
      </c>
    </row>
    <row r="250" spans="1:5" x14ac:dyDescent="0.3">
      <c r="A250" s="14" t="str">
        <v>TRX0103</v>
      </c>
      <c r="B250" s="16">
        <v>45641</v>
      </c>
      <c r="C250" s="19">
        <f t="shared" ca="1" si="9"/>
        <v>457</v>
      </c>
      <c r="D250" s="16">
        <f t="shared" si="10"/>
        <v>45657</v>
      </c>
      <c r="E250" s="20">
        <f t="shared" ca="1" si="11"/>
        <v>46098.776940509262</v>
      </c>
    </row>
    <row r="251" spans="1:5" x14ac:dyDescent="0.3">
      <c r="A251" s="14" t="str">
        <v>TRX0064</v>
      </c>
      <c r="B251" s="16">
        <v>45642</v>
      </c>
      <c r="C251" s="19">
        <f t="shared" ca="1" si="9"/>
        <v>456</v>
      </c>
      <c r="D251" s="16">
        <f t="shared" si="10"/>
        <v>45657</v>
      </c>
      <c r="E251" s="20">
        <f t="shared" ca="1" si="11"/>
        <v>46098.776940509262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5913-B6DC-40C7-A326-B80D937F2938}">
  <dimension ref="B3:O64"/>
  <sheetViews>
    <sheetView zoomScaleNormal="100" workbookViewId="0">
      <selection activeCell="B19" sqref="B19"/>
    </sheetView>
  </sheetViews>
  <sheetFormatPr defaultRowHeight="14.4" x14ac:dyDescent="0.3"/>
  <cols>
    <col min="2" max="2" width="39" bestFit="1" customWidth="1"/>
    <col min="3" max="3" width="9" customWidth="1"/>
    <col min="4" max="4" width="11.88671875" bestFit="1" customWidth="1"/>
    <col min="5" max="5" width="15.21875" bestFit="1" customWidth="1"/>
    <col min="6" max="6" width="10.44140625" bestFit="1" customWidth="1"/>
    <col min="7" max="7" width="13.77734375" bestFit="1" customWidth="1"/>
    <col min="8" max="8" width="9.88671875" bestFit="1" customWidth="1"/>
    <col min="11" max="11" width="16.77734375" bestFit="1" customWidth="1"/>
    <col min="13" max="13" width="18.21875" bestFit="1" customWidth="1"/>
    <col min="14" max="14" width="15" bestFit="1" customWidth="1"/>
    <col min="15" max="15" width="13.33203125" bestFit="1" customWidth="1"/>
  </cols>
  <sheetData>
    <row r="3" spans="2:15" x14ac:dyDescent="0.3">
      <c r="B3" s="28" t="s">
        <v>403</v>
      </c>
    </row>
    <row r="4" spans="2:15" x14ac:dyDescent="0.3">
      <c r="B4" s="26" t="s">
        <v>402</v>
      </c>
      <c r="C4" s="26"/>
      <c r="D4" s="26"/>
      <c r="E4" s="26"/>
    </row>
    <row r="5" spans="2:15" x14ac:dyDescent="0.3">
      <c r="B5" s="27" t="s">
        <v>0</v>
      </c>
      <c r="C5" s="27" t="s">
        <v>1</v>
      </c>
      <c r="D5" s="27" t="s">
        <v>2</v>
      </c>
      <c r="E5" s="27" t="s">
        <v>3</v>
      </c>
      <c r="F5" s="27" t="s">
        <v>4</v>
      </c>
      <c r="G5" s="27" t="s">
        <v>5</v>
      </c>
      <c r="H5" s="27" t="s">
        <v>6</v>
      </c>
      <c r="I5" s="27" t="s">
        <v>7</v>
      </c>
      <c r="J5" s="27" t="s">
        <v>8</v>
      </c>
      <c r="K5" s="27" t="s">
        <v>9</v>
      </c>
      <c r="L5" s="27" t="s">
        <v>10</v>
      </c>
      <c r="M5" s="27" t="s">
        <v>11</v>
      </c>
      <c r="N5" s="27" t="s">
        <v>12</v>
      </c>
      <c r="O5" s="27" t="s">
        <v>13</v>
      </c>
    </row>
    <row r="6" spans="2:15" x14ac:dyDescent="0.3">
      <c r="B6" s="24" t="str" cm="1">
        <f t="array" ref="B6:O64">_xlfn._xlws.FILTER(Table1[],Table1[Region]="North")</f>
        <v>TRX0043</v>
      </c>
      <c r="C6">
        <v>45396</v>
      </c>
      <c r="D6" t="str">
        <v>CUST046</v>
      </c>
      <c r="E6" t="str">
        <v>Kathleen Bennett</v>
      </c>
      <c r="F6" t="str">
        <v>P005</v>
      </c>
      <c r="G6" t="str">
        <v>Blender</v>
      </c>
      <c r="H6" t="str">
        <v>Appliances</v>
      </c>
      <c r="I6">
        <v>3</v>
      </c>
      <c r="J6">
        <v>59.99</v>
      </c>
      <c r="K6" t="str">
        <v>Cash</v>
      </c>
      <c r="L6" t="str">
        <v>North</v>
      </c>
      <c r="M6" t="str">
        <v>Premium</v>
      </c>
      <c r="N6">
        <v>45114</v>
      </c>
      <c r="O6">
        <v>179.97</v>
      </c>
    </row>
    <row r="7" spans="2:15" x14ac:dyDescent="0.3">
      <c r="B7" t="str">
        <v>TRX0212</v>
      </c>
      <c r="C7">
        <v>45397</v>
      </c>
      <c r="D7" t="str">
        <v>CUST003</v>
      </c>
      <c r="E7" t="str">
        <v>Michael Brown</v>
      </c>
      <c r="F7" t="str">
        <v>P008</v>
      </c>
      <c r="G7" t="str">
        <v>Bookshelf</v>
      </c>
      <c r="H7" t="str">
        <v>Furniture</v>
      </c>
      <c r="I7">
        <v>5</v>
      </c>
      <c r="J7">
        <v>149.99</v>
      </c>
      <c r="K7" t="str">
        <v>Credit Card</v>
      </c>
      <c r="L7" t="str">
        <v>North</v>
      </c>
      <c r="M7" t="str">
        <v>Premium</v>
      </c>
      <c r="N7">
        <v>45295</v>
      </c>
      <c r="O7">
        <v>749.95</v>
      </c>
    </row>
    <row r="8" spans="2:15" x14ac:dyDescent="0.3">
      <c r="B8" t="str">
        <v>TRX0209</v>
      </c>
      <c r="C8">
        <v>45404</v>
      </c>
      <c r="D8" t="str">
        <v>CUST046</v>
      </c>
      <c r="E8" t="str">
        <v>Kathleen Bennett</v>
      </c>
      <c r="F8" t="str">
        <v>P008</v>
      </c>
      <c r="G8" t="str">
        <v>Bookshelf</v>
      </c>
      <c r="H8" t="str">
        <v>Furniture</v>
      </c>
      <c r="I8">
        <v>5</v>
      </c>
      <c r="J8">
        <v>149.99</v>
      </c>
      <c r="K8" t="str">
        <v>Debit Card</v>
      </c>
      <c r="L8" t="str">
        <v>North</v>
      </c>
      <c r="M8" t="str">
        <v>Basic</v>
      </c>
      <c r="N8">
        <v>44830</v>
      </c>
      <c r="O8">
        <v>749.95</v>
      </c>
    </row>
    <row r="9" spans="2:15" x14ac:dyDescent="0.3">
      <c r="B9" t="str">
        <v>TRX0246</v>
      </c>
      <c r="C9">
        <v>45405</v>
      </c>
      <c r="D9" t="str">
        <v>CUST041</v>
      </c>
      <c r="E9" t="str">
        <v>Peter Richardson</v>
      </c>
      <c r="F9" t="str">
        <v>P008</v>
      </c>
      <c r="G9" t="str">
        <v>Bookshelf</v>
      </c>
      <c r="H9" t="str">
        <v>Furniture</v>
      </c>
      <c r="I9">
        <v>3</v>
      </c>
      <c r="J9">
        <v>149.99</v>
      </c>
      <c r="K9" t="str">
        <v>Cash</v>
      </c>
      <c r="L9" t="str">
        <v>North</v>
      </c>
      <c r="M9" t="str">
        <v>Premium</v>
      </c>
      <c r="N9">
        <v>44806</v>
      </c>
      <c r="O9">
        <v>449.97</v>
      </c>
    </row>
    <row r="10" spans="2:15" x14ac:dyDescent="0.3">
      <c r="B10" t="str">
        <v>TRX0067</v>
      </c>
      <c r="C10">
        <v>45406</v>
      </c>
      <c r="D10" t="str">
        <v>CUST043</v>
      </c>
      <c r="E10" t="str">
        <v>Dennis Gray</v>
      </c>
      <c r="F10" t="str">
        <v>P005</v>
      </c>
      <c r="G10" t="str">
        <v>Blender</v>
      </c>
      <c r="H10" t="str">
        <v>Appliances</v>
      </c>
      <c r="I10">
        <v>3</v>
      </c>
      <c r="J10">
        <v>59.99</v>
      </c>
      <c r="K10" t="str">
        <v>Credit Card</v>
      </c>
      <c r="L10" t="str">
        <v>North</v>
      </c>
      <c r="M10" t="str">
        <v>Standard</v>
      </c>
      <c r="N10">
        <v>45351</v>
      </c>
      <c r="O10">
        <v>179.97</v>
      </c>
    </row>
    <row r="11" spans="2:15" x14ac:dyDescent="0.3">
      <c r="B11" t="str">
        <v>TRX0230</v>
      </c>
      <c r="C11">
        <v>45408</v>
      </c>
      <c r="D11" t="str">
        <v>CUST027</v>
      </c>
      <c r="E11" t="str">
        <v>George Adams</v>
      </c>
      <c r="F11" t="str">
        <v>P001</v>
      </c>
      <c r="G11" t="str">
        <v>Laptop</v>
      </c>
      <c r="H11" t="str">
        <v>Electronics</v>
      </c>
      <c r="I11">
        <v>1</v>
      </c>
      <c r="J11">
        <v>899.99</v>
      </c>
      <c r="K11" t="str">
        <v>Debit Card</v>
      </c>
      <c r="L11" t="str">
        <v>North</v>
      </c>
      <c r="M11" t="str">
        <v>Standard</v>
      </c>
      <c r="N11">
        <v>44920</v>
      </c>
      <c r="O11">
        <v>899.99</v>
      </c>
    </row>
    <row r="12" spans="2:15" x14ac:dyDescent="0.3">
      <c r="B12" t="str">
        <v>TRX0049</v>
      </c>
      <c r="C12">
        <v>45409</v>
      </c>
      <c r="D12" t="str">
        <v>CUST025</v>
      </c>
      <c r="E12" t="str">
        <v>Mark Carter</v>
      </c>
      <c r="F12" t="str">
        <v>P008</v>
      </c>
      <c r="G12" t="str">
        <v>Bookshelf</v>
      </c>
      <c r="H12" t="str">
        <v>Furniture</v>
      </c>
      <c r="I12">
        <v>4</v>
      </c>
      <c r="J12">
        <v>149.99</v>
      </c>
      <c r="K12" t="str">
        <v>Debit Card</v>
      </c>
      <c r="L12" t="str">
        <v>North</v>
      </c>
      <c r="M12" t="str">
        <v>Premium</v>
      </c>
      <c r="N12">
        <v>45374</v>
      </c>
      <c r="O12">
        <v>599.96</v>
      </c>
    </row>
    <row r="13" spans="2:15" x14ac:dyDescent="0.3">
      <c r="B13" t="str">
        <v>TRX0134</v>
      </c>
      <c r="C13">
        <v>45410</v>
      </c>
      <c r="D13" t="str">
        <v>CUST010</v>
      </c>
      <c r="E13" t="str">
        <v>Maria Garcia</v>
      </c>
      <c r="F13" t="str">
        <v>P002</v>
      </c>
      <c r="G13" t="str">
        <v>Smartphone</v>
      </c>
      <c r="H13" t="str">
        <v>Electronics</v>
      </c>
      <c r="I13">
        <v>2</v>
      </c>
      <c r="J13">
        <v>699.99</v>
      </c>
      <c r="K13" t="str">
        <v>Cash</v>
      </c>
      <c r="L13" t="str">
        <v>North</v>
      </c>
      <c r="M13" t="str">
        <v>Basic</v>
      </c>
      <c r="N13">
        <v>44781</v>
      </c>
      <c r="O13">
        <v>1399.98</v>
      </c>
    </row>
    <row r="14" spans="2:15" x14ac:dyDescent="0.3">
      <c r="B14" t="str">
        <v>TRX0222</v>
      </c>
      <c r="C14">
        <v>45412</v>
      </c>
      <c r="D14" t="str">
        <v>CUST048</v>
      </c>
      <c r="E14" t="str">
        <v>Virginia Sanders</v>
      </c>
      <c r="F14" t="str">
        <v>P009</v>
      </c>
      <c r="G14" t="str">
        <v>Monitor</v>
      </c>
      <c r="H14" t="str">
        <v>Electronics</v>
      </c>
      <c r="I14">
        <v>3</v>
      </c>
      <c r="J14">
        <v>249.99</v>
      </c>
      <c r="K14" t="str">
        <v>Credit Card</v>
      </c>
      <c r="L14" t="str">
        <v>North</v>
      </c>
      <c r="M14" t="str">
        <v>Premium</v>
      </c>
      <c r="N14">
        <v>45224</v>
      </c>
      <c r="O14">
        <v>749.97</v>
      </c>
    </row>
    <row r="15" spans="2:15" x14ac:dyDescent="0.3">
      <c r="B15" t="str">
        <v>TRX0204</v>
      </c>
      <c r="C15">
        <v>45415</v>
      </c>
      <c r="D15" t="str">
        <v>CUST044</v>
      </c>
      <c r="E15" t="str">
        <v>Cynthia Price</v>
      </c>
      <c r="F15" t="str">
        <v>P009</v>
      </c>
      <c r="G15" t="str">
        <v>Monitor</v>
      </c>
      <c r="H15" t="str">
        <v>Electronics</v>
      </c>
      <c r="I15">
        <v>4</v>
      </c>
      <c r="J15">
        <v>249.99</v>
      </c>
      <c r="K15" t="str">
        <v>PayPal</v>
      </c>
      <c r="L15" t="str">
        <v>North</v>
      </c>
      <c r="M15" t="str">
        <v>Standard</v>
      </c>
      <c r="N15">
        <v>44468</v>
      </c>
      <c r="O15">
        <v>999.96</v>
      </c>
    </row>
    <row r="16" spans="2:15" x14ac:dyDescent="0.3">
      <c r="B16" t="str">
        <v>TRX0004</v>
      </c>
      <c r="C16">
        <v>45420</v>
      </c>
      <c r="D16" t="str">
        <v>CUST012</v>
      </c>
      <c r="E16" t="str">
        <v>Patricia Moore</v>
      </c>
      <c r="F16" t="str">
        <v>P010</v>
      </c>
      <c r="G16" t="str">
        <v>Keyboard</v>
      </c>
      <c r="H16" t="str">
        <v>Electronics</v>
      </c>
      <c r="I16">
        <v>5</v>
      </c>
      <c r="J16">
        <v>89.99</v>
      </c>
      <c r="K16" t="str">
        <v>Cash</v>
      </c>
      <c r="L16" t="str">
        <v>North</v>
      </c>
      <c r="M16" t="str">
        <v>Premium</v>
      </c>
      <c r="N16">
        <v>44919</v>
      </c>
      <c r="O16">
        <v>449.95</v>
      </c>
    </row>
    <row r="17" spans="2:15" x14ac:dyDescent="0.3">
      <c r="B17" t="str">
        <v>TRX0245</v>
      </c>
      <c r="C17">
        <v>45429</v>
      </c>
      <c r="D17" t="str">
        <v>CUST031</v>
      </c>
      <c r="E17" t="str">
        <v>Steven Turner</v>
      </c>
      <c r="F17" t="str">
        <v>P006</v>
      </c>
      <c r="G17" t="str">
        <v>Office Chair</v>
      </c>
      <c r="H17" t="str">
        <v>Furniture</v>
      </c>
      <c r="I17">
        <v>3</v>
      </c>
      <c r="J17">
        <v>199.99</v>
      </c>
      <c r="K17" t="str">
        <v>Credit Card</v>
      </c>
      <c r="L17" t="str">
        <v>North</v>
      </c>
      <c r="M17" t="str">
        <v>Premium</v>
      </c>
      <c r="N17">
        <v>45292</v>
      </c>
      <c r="O17">
        <v>599.97</v>
      </c>
    </row>
    <row r="18" spans="2:15" x14ac:dyDescent="0.3">
      <c r="B18" t="str">
        <v>TRX0042</v>
      </c>
      <c r="C18">
        <v>45432</v>
      </c>
      <c r="D18" t="str">
        <v>CUST019</v>
      </c>
      <c r="E18" t="str">
        <v>Daniel King</v>
      </c>
      <c r="F18" t="str">
        <v>P004</v>
      </c>
      <c r="G18" t="str">
        <v>Coffee Maker</v>
      </c>
      <c r="H18" t="str">
        <v>Appliances</v>
      </c>
      <c r="I18">
        <v>1</v>
      </c>
      <c r="J18">
        <v>79.989999999999995</v>
      </c>
      <c r="K18" t="str">
        <v>Cash</v>
      </c>
      <c r="L18" t="str">
        <v>North</v>
      </c>
      <c r="M18" t="str">
        <v>Standard</v>
      </c>
      <c r="N18">
        <v>44917</v>
      </c>
      <c r="O18">
        <v>79.989999999999995</v>
      </c>
    </row>
    <row r="19" spans="2:15" x14ac:dyDescent="0.3">
      <c r="B19" t="str">
        <v>TRX0117</v>
      </c>
      <c r="C19">
        <v>45434</v>
      </c>
      <c r="D19" t="str">
        <v>CUST017</v>
      </c>
      <c r="E19" t="str">
        <v>Charles Allen</v>
      </c>
      <c r="F19" t="str">
        <v>P010</v>
      </c>
      <c r="G19" t="str">
        <v>Keyboard</v>
      </c>
      <c r="H19" t="str">
        <v>Electronics</v>
      </c>
      <c r="I19">
        <v>1</v>
      </c>
      <c r="J19">
        <v>89.99</v>
      </c>
      <c r="K19" t="str">
        <v>Cash</v>
      </c>
      <c r="L19" t="str">
        <v>North</v>
      </c>
      <c r="M19" t="str">
        <v>Basic</v>
      </c>
      <c r="N19">
        <v>45141</v>
      </c>
      <c r="O19">
        <v>89.99</v>
      </c>
    </row>
    <row r="20" spans="2:15" x14ac:dyDescent="0.3">
      <c r="B20" t="str">
        <v>TRX0086</v>
      </c>
      <c r="C20">
        <v>45456</v>
      </c>
      <c r="D20" t="str">
        <v>CUST020</v>
      </c>
      <c r="E20" t="str">
        <v>Margaret Wright</v>
      </c>
      <c r="F20" t="str">
        <v>P008</v>
      </c>
      <c r="G20" t="str">
        <v>Bookshelf</v>
      </c>
      <c r="H20" t="str">
        <v>Furniture</v>
      </c>
      <c r="I20">
        <v>1</v>
      </c>
      <c r="J20">
        <v>149.99</v>
      </c>
      <c r="K20" t="str">
        <v>PayPal</v>
      </c>
      <c r="L20" t="str">
        <v>North</v>
      </c>
      <c r="M20" t="str">
        <v>Basic</v>
      </c>
      <c r="N20">
        <v>44421</v>
      </c>
      <c r="O20">
        <v>149.99</v>
      </c>
    </row>
    <row r="21" spans="2:15" x14ac:dyDescent="0.3">
      <c r="B21" t="str">
        <v>TRX0114</v>
      </c>
      <c r="C21">
        <v>45458</v>
      </c>
      <c r="D21" t="str">
        <v>CUST018</v>
      </c>
      <c r="E21" t="str">
        <v>Barbara Young</v>
      </c>
      <c r="F21" t="str">
        <v>P010</v>
      </c>
      <c r="G21" t="str">
        <v>Keyboard</v>
      </c>
      <c r="H21" t="str">
        <v>Electronics</v>
      </c>
      <c r="I21">
        <v>5</v>
      </c>
      <c r="J21">
        <v>89.99</v>
      </c>
      <c r="K21" t="str">
        <v>Debit Card</v>
      </c>
      <c r="L21" t="str">
        <v>North</v>
      </c>
      <c r="M21" t="str">
        <v>Premium</v>
      </c>
      <c r="N21">
        <v>45161</v>
      </c>
      <c r="O21">
        <v>449.95</v>
      </c>
    </row>
    <row r="22" spans="2:15" x14ac:dyDescent="0.3">
      <c r="B22" t="str">
        <v>TRX0141</v>
      </c>
      <c r="C22">
        <v>45461</v>
      </c>
      <c r="D22" t="str">
        <v>CUST033</v>
      </c>
      <c r="E22" t="str">
        <v>Frank Torres</v>
      </c>
      <c r="F22" t="str">
        <v>P007</v>
      </c>
      <c r="G22" t="str">
        <v>Desk</v>
      </c>
      <c r="H22" t="str">
        <v>Furniture</v>
      </c>
      <c r="I22">
        <v>1</v>
      </c>
      <c r="J22">
        <v>299.99</v>
      </c>
      <c r="K22" t="str">
        <v>Credit Card</v>
      </c>
      <c r="L22" t="str">
        <v>North</v>
      </c>
      <c r="M22" t="str">
        <v>Premium</v>
      </c>
      <c r="N22">
        <v>44891</v>
      </c>
      <c r="O22">
        <v>299.99</v>
      </c>
    </row>
    <row r="23" spans="2:15" x14ac:dyDescent="0.3">
      <c r="B23" t="str">
        <v>TRX0097</v>
      </c>
      <c r="C23">
        <v>45462</v>
      </c>
      <c r="D23" t="str">
        <v>CUST033</v>
      </c>
      <c r="E23" t="str">
        <v>Frank Torres</v>
      </c>
      <c r="F23" t="str">
        <v>P006</v>
      </c>
      <c r="G23" t="str">
        <v>Office Chair</v>
      </c>
      <c r="H23" t="str">
        <v>Furniture</v>
      </c>
      <c r="I23">
        <v>2</v>
      </c>
      <c r="J23">
        <v>199.99</v>
      </c>
      <c r="K23" t="str">
        <v>Cash</v>
      </c>
      <c r="L23" t="str">
        <v>North</v>
      </c>
      <c r="M23" t="str">
        <v>Basic</v>
      </c>
      <c r="N23">
        <v>44541</v>
      </c>
      <c r="O23">
        <v>399.98</v>
      </c>
    </row>
    <row r="24" spans="2:15" x14ac:dyDescent="0.3">
      <c r="B24" t="str">
        <v>TRX0131</v>
      </c>
      <c r="C24">
        <v>45465</v>
      </c>
      <c r="D24" t="str">
        <v>CUST026</v>
      </c>
      <c r="E24" t="str">
        <v>Karen Hill</v>
      </c>
      <c r="F24" t="str">
        <v>P006</v>
      </c>
      <c r="G24" t="str">
        <v>Office Chair</v>
      </c>
      <c r="H24" t="str">
        <v>Furniture</v>
      </c>
      <c r="I24">
        <v>3</v>
      </c>
      <c r="J24">
        <v>199.99</v>
      </c>
      <c r="K24" t="str">
        <v>Cash</v>
      </c>
      <c r="L24" t="str">
        <v>North</v>
      </c>
      <c r="M24" t="str">
        <v>Premium</v>
      </c>
      <c r="N24">
        <v>45254</v>
      </c>
      <c r="O24">
        <v>599.97</v>
      </c>
    </row>
    <row r="25" spans="2:15" x14ac:dyDescent="0.3">
      <c r="B25" t="str">
        <v>TRX0006</v>
      </c>
      <c r="C25">
        <v>45468</v>
      </c>
      <c r="D25" t="str">
        <v>CUST007</v>
      </c>
      <c r="E25" t="str">
        <v>David Martinez</v>
      </c>
      <c r="F25" t="str">
        <v>P005</v>
      </c>
      <c r="G25" t="str">
        <v>Blender</v>
      </c>
      <c r="H25" t="str">
        <v>Appliances</v>
      </c>
      <c r="I25">
        <v>2</v>
      </c>
      <c r="J25">
        <v>59.99</v>
      </c>
      <c r="K25" t="str">
        <v>Cash</v>
      </c>
      <c r="L25" t="str">
        <v>North</v>
      </c>
      <c r="M25" t="str">
        <v>Standard</v>
      </c>
      <c r="N25">
        <v>45152</v>
      </c>
      <c r="O25">
        <v>119.98</v>
      </c>
    </row>
    <row r="26" spans="2:15" x14ac:dyDescent="0.3">
      <c r="B26" t="str">
        <v>TRX0080</v>
      </c>
      <c r="C26">
        <v>45470</v>
      </c>
      <c r="D26" t="str">
        <v>CUST018</v>
      </c>
      <c r="E26" t="str">
        <v>Barbara Young</v>
      </c>
      <c r="F26" t="str">
        <v>P009</v>
      </c>
      <c r="G26" t="str">
        <v>Monitor</v>
      </c>
      <c r="H26" t="str">
        <v>Electronics</v>
      </c>
      <c r="I26">
        <v>2</v>
      </c>
      <c r="J26">
        <v>249.99</v>
      </c>
      <c r="K26" t="str">
        <v>Cash</v>
      </c>
      <c r="L26" t="str">
        <v>North</v>
      </c>
      <c r="M26" t="str">
        <v>Premium</v>
      </c>
      <c r="N26">
        <v>45164</v>
      </c>
      <c r="O26">
        <v>499.98</v>
      </c>
    </row>
    <row r="27" spans="2:15" x14ac:dyDescent="0.3">
      <c r="B27" t="str">
        <v>TRX0217</v>
      </c>
      <c r="C27">
        <v>45474</v>
      </c>
      <c r="D27" t="str">
        <v>CUST025</v>
      </c>
      <c r="E27" t="str">
        <v>Mark Carter</v>
      </c>
      <c r="F27" t="str">
        <v>P002</v>
      </c>
      <c r="G27" t="str">
        <v>Smartphone</v>
      </c>
      <c r="H27" t="str">
        <v>Electronics</v>
      </c>
      <c r="I27">
        <v>2</v>
      </c>
      <c r="J27">
        <v>699.99</v>
      </c>
      <c r="K27" t="str">
        <v>Credit Card</v>
      </c>
      <c r="L27" t="str">
        <v>North</v>
      </c>
      <c r="M27" t="str">
        <v>Premium</v>
      </c>
      <c r="N27">
        <v>44999</v>
      </c>
      <c r="O27">
        <v>1399.98</v>
      </c>
    </row>
    <row r="28" spans="2:15" x14ac:dyDescent="0.3">
      <c r="B28" t="str">
        <v>TRX0101</v>
      </c>
      <c r="C28">
        <v>45478</v>
      </c>
      <c r="D28" t="str">
        <v>CUST010</v>
      </c>
      <c r="E28" t="str">
        <v>Maria Garcia</v>
      </c>
      <c r="F28" t="str">
        <v>P010</v>
      </c>
      <c r="G28" t="str">
        <v>Keyboard</v>
      </c>
      <c r="H28" t="str">
        <v>Electronics</v>
      </c>
      <c r="I28">
        <v>1</v>
      </c>
      <c r="J28">
        <v>89.99</v>
      </c>
      <c r="K28" t="str">
        <v>Credit Card</v>
      </c>
      <c r="L28" t="str">
        <v>North</v>
      </c>
      <c r="M28" t="str">
        <v>Standard</v>
      </c>
      <c r="N28">
        <v>45393</v>
      </c>
      <c r="O28">
        <v>89.99</v>
      </c>
    </row>
    <row r="29" spans="2:15" x14ac:dyDescent="0.3">
      <c r="B29" t="str">
        <v>TRX0205</v>
      </c>
      <c r="C29">
        <v>45479</v>
      </c>
      <c r="D29" t="str">
        <v>CUST025</v>
      </c>
      <c r="E29" t="str">
        <v>Mark Carter</v>
      </c>
      <c r="F29" t="str">
        <v>P007</v>
      </c>
      <c r="G29" t="str">
        <v>Desk</v>
      </c>
      <c r="H29" t="str">
        <v>Furniture</v>
      </c>
      <c r="I29">
        <v>5</v>
      </c>
      <c r="J29">
        <v>299.99</v>
      </c>
      <c r="K29" t="str">
        <v>Credit Card</v>
      </c>
      <c r="L29" t="str">
        <v>North</v>
      </c>
      <c r="M29" t="str">
        <v>Basic</v>
      </c>
      <c r="N29">
        <v>44965</v>
      </c>
      <c r="O29">
        <v>1499.95</v>
      </c>
    </row>
    <row r="30" spans="2:15" x14ac:dyDescent="0.3">
      <c r="B30" t="str">
        <v>TRX0098</v>
      </c>
      <c r="C30">
        <v>45482</v>
      </c>
      <c r="D30" t="str">
        <v>CUST026</v>
      </c>
      <c r="E30" t="str">
        <v>Karen Hill</v>
      </c>
      <c r="F30" t="str">
        <v>P009</v>
      </c>
      <c r="G30" t="str">
        <v>Monitor</v>
      </c>
      <c r="H30" t="str">
        <v>Electronics</v>
      </c>
      <c r="I30">
        <v>3</v>
      </c>
      <c r="J30">
        <v>249.99</v>
      </c>
      <c r="K30" t="str">
        <v>PayPal</v>
      </c>
      <c r="L30" t="str">
        <v>North</v>
      </c>
      <c r="M30" t="str">
        <v>Premium</v>
      </c>
      <c r="N30">
        <v>44465</v>
      </c>
      <c r="O30">
        <v>749.97</v>
      </c>
    </row>
    <row r="31" spans="2:15" x14ac:dyDescent="0.3">
      <c r="B31" t="str">
        <v>TRX0247</v>
      </c>
      <c r="C31">
        <v>45483</v>
      </c>
      <c r="D31" t="str">
        <v>CUST046</v>
      </c>
      <c r="E31" t="str">
        <v>Kathleen Bennett</v>
      </c>
      <c r="F31" t="str">
        <v>P006</v>
      </c>
      <c r="G31" t="str">
        <v>Office Chair</v>
      </c>
      <c r="H31" t="str">
        <v>Furniture</v>
      </c>
      <c r="I31">
        <v>4</v>
      </c>
      <c r="J31">
        <v>199.99</v>
      </c>
      <c r="K31" t="str">
        <v>Cash</v>
      </c>
      <c r="L31" t="str">
        <v>North</v>
      </c>
      <c r="M31" t="str">
        <v>Standard</v>
      </c>
      <c r="N31">
        <v>44458</v>
      </c>
      <c r="O31">
        <v>799.96</v>
      </c>
    </row>
    <row r="32" spans="2:15" x14ac:dyDescent="0.3">
      <c r="B32" t="str">
        <v>TRX0027</v>
      </c>
      <c r="C32">
        <v>45484</v>
      </c>
      <c r="D32" t="str">
        <v>CUST028</v>
      </c>
      <c r="E32" t="str">
        <v>Betty Campbell</v>
      </c>
      <c r="F32" t="str">
        <v>P006</v>
      </c>
      <c r="G32" t="str">
        <v>Office Chair</v>
      </c>
      <c r="H32" t="str">
        <v>Furniture</v>
      </c>
      <c r="I32">
        <v>5</v>
      </c>
      <c r="J32">
        <v>199.99</v>
      </c>
      <c r="K32" t="str">
        <v>Cash</v>
      </c>
      <c r="L32" t="str">
        <v>North</v>
      </c>
      <c r="M32" t="str">
        <v>Premium</v>
      </c>
      <c r="N32">
        <v>44991</v>
      </c>
      <c r="O32">
        <v>999.95</v>
      </c>
    </row>
    <row r="33" spans="2:15" x14ac:dyDescent="0.3">
      <c r="B33" t="str">
        <v>TRX0248</v>
      </c>
      <c r="C33">
        <v>45493</v>
      </c>
      <c r="D33" t="str">
        <v>CUST032</v>
      </c>
      <c r="E33" t="str">
        <v>Sandra Phillips</v>
      </c>
      <c r="F33" t="str">
        <v>P002</v>
      </c>
      <c r="G33" t="str">
        <v>Smartphone</v>
      </c>
      <c r="H33" t="str">
        <v>Electronics</v>
      </c>
      <c r="I33">
        <v>2</v>
      </c>
      <c r="J33">
        <v>699.99</v>
      </c>
      <c r="K33" t="str">
        <v>Credit Card</v>
      </c>
      <c r="L33" t="str">
        <v>North</v>
      </c>
      <c r="M33" t="str">
        <v>Premium</v>
      </c>
      <c r="N33">
        <v>44421</v>
      </c>
      <c r="O33">
        <v>1399.98</v>
      </c>
    </row>
    <row r="34" spans="2:15" x14ac:dyDescent="0.3">
      <c r="B34" t="str">
        <v>TRX0074</v>
      </c>
      <c r="C34">
        <v>45495</v>
      </c>
      <c r="D34" t="str">
        <v>CUST023</v>
      </c>
      <c r="E34" t="str">
        <v>Paul Baker</v>
      </c>
      <c r="F34" t="str">
        <v>P009</v>
      </c>
      <c r="G34" t="str">
        <v>Monitor</v>
      </c>
      <c r="H34" t="str">
        <v>Electronics</v>
      </c>
      <c r="I34">
        <v>1</v>
      </c>
      <c r="J34">
        <v>249.99</v>
      </c>
      <c r="K34" t="str">
        <v>Debit Card</v>
      </c>
      <c r="L34" t="str">
        <v>North</v>
      </c>
      <c r="M34" t="str">
        <v>Premium</v>
      </c>
      <c r="N34">
        <v>45332</v>
      </c>
      <c r="O34">
        <v>249.99</v>
      </c>
    </row>
    <row r="35" spans="2:15" x14ac:dyDescent="0.3">
      <c r="B35" t="str">
        <v>TRX0112</v>
      </c>
      <c r="C35">
        <v>45499</v>
      </c>
      <c r="D35" t="str">
        <v>CUST008</v>
      </c>
      <c r="E35" t="str">
        <v>Jennifer Taylor</v>
      </c>
      <c r="F35" t="str">
        <v>P004</v>
      </c>
      <c r="G35" t="str">
        <v>Coffee Maker</v>
      </c>
      <c r="H35" t="str">
        <v>Appliances</v>
      </c>
      <c r="I35">
        <v>4</v>
      </c>
      <c r="J35">
        <v>79.989999999999995</v>
      </c>
      <c r="K35" t="str">
        <v>Cash</v>
      </c>
      <c r="L35" t="str">
        <v>North</v>
      </c>
      <c r="M35" t="str">
        <v>Basic</v>
      </c>
      <c r="N35">
        <v>44530</v>
      </c>
      <c r="O35">
        <v>319.95999999999998</v>
      </c>
    </row>
    <row r="36" spans="2:15" x14ac:dyDescent="0.3">
      <c r="B36" t="str">
        <v>TRX0005</v>
      </c>
      <c r="C36">
        <v>45503</v>
      </c>
      <c r="D36" t="str">
        <v>CUST042</v>
      </c>
      <c r="E36" t="str">
        <v>Ruth Brooks</v>
      </c>
      <c r="F36" t="str">
        <v>P003</v>
      </c>
      <c r="G36" t="str">
        <v>Headphones</v>
      </c>
      <c r="H36" t="str">
        <v>Electronics</v>
      </c>
      <c r="I36">
        <v>4</v>
      </c>
      <c r="J36">
        <v>149.99</v>
      </c>
      <c r="K36" t="str">
        <v>Cash</v>
      </c>
      <c r="L36" t="str">
        <v>North</v>
      </c>
      <c r="M36" t="str">
        <v>Basic</v>
      </c>
      <c r="N36">
        <v>44909</v>
      </c>
      <c r="O36">
        <v>599.96</v>
      </c>
    </row>
    <row r="37" spans="2:15" x14ac:dyDescent="0.3">
      <c r="B37" t="str">
        <v>TRX0177</v>
      </c>
      <c r="C37">
        <v>45509</v>
      </c>
      <c r="D37" t="str">
        <v>CUST032</v>
      </c>
      <c r="E37" t="str">
        <v>Sandra Phillips</v>
      </c>
      <c r="F37" t="str">
        <v>P001</v>
      </c>
      <c r="G37" t="str">
        <v>Laptop</v>
      </c>
      <c r="H37" t="str">
        <v>Electronics</v>
      </c>
      <c r="I37">
        <v>3</v>
      </c>
      <c r="J37">
        <v>899.99</v>
      </c>
      <c r="K37" t="str">
        <v>Credit Card</v>
      </c>
      <c r="L37" t="str">
        <v>North</v>
      </c>
      <c r="M37" t="str">
        <v>Standard</v>
      </c>
      <c r="N37">
        <v>45157</v>
      </c>
      <c r="O37">
        <v>2699.97</v>
      </c>
    </row>
    <row r="38" spans="2:15" x14ac:dyDescent="0.3">
      <c r="B38" t="str">
        <v>TRX0203</v>
      </c>
      <c r="C38">
        <v>45515</v>
      </c>
      <c r="D38" t="str">
        <v>CUST032</v>
      </c>
      <c r="E38" t="str">
        <v>Sandra Phillips</v>
      </c>
      <c r="F38" t="str">
        <v>P003</v>
      </c>
      <c r="G38" t="str">
        <v>Headphones</v>
      </c>
      <c r="H38" t="str">
        <v>Electronics</v>
      </c>
      <c r="I38">
        <v>4</v>
      </c>
      <c r="J38">
        <v>149.99</v>
      </c>
      <c r="K38" t="str">
        <v>Credit Card</v>
      </c>
      <c r="L38" t="str">
        <v>North</v>
      </c>
      <c r="M38" t="str">
        <v>Premium</v>
      </c>
      <c r="N38">
        <v>45076</v>
      </c>
      <c r="O38">
        <v>599.96</v>
      </c>
    </row>
    <row r="39" spans="2:15" x14ac:dyDescent="0.3">
      <c r="B39" t="str">
        <v>TRX0167</v>
      </c>
      <c r="C39">
        <v>45527</v>
      </c>
      <c r="D39" t="str">
        <v>CUST028</v>
      </c>
      <c r="E39" t="str">
        <v>Betty Campbell</v>
      </c>
      <c r="F39" t="str">
        <v>P002</v>
      </c>
      <c r="G39" t="str">
        <v>Smartphone</v>
      </c>
      <c r="H39" t="str">
        <v>Electronics</v>
      </c>
      <c r="I39">
        <v>5</v>
      </c>
      <c r="J39">
        <v>699.99</v>
      </c>
      <c r="K39" t="str">
        <v>Cash</v>
      </c>
      <c r="L39" t="str">
        <v>North</v>
      </c>
      <c r="M39" t="str">
        <v>Premium</v>
      </c>
      <c r="N39">
        <v>44635</v>
      </c>
      <c r="O39">
        <v>3499.95</v>
      </c>
    </row>
    <row r="40" spans="2:15" x14ac:dyDescent="0.3">
      <c r="B40" t="str">
        <v>TRX0153</v>
      </c>
      <c r="C40">
        <v>45528</v>
      </c>
      <c r="D40" t="str">
        <v>CUST049</v>
      </c>
      <c r="E40" t="str">
        <v>Raymond Ross</v>
      </c>
      <c r="F40" t="str">
        <v>P010</v>
      </c>
      <c r="G40" t="str">
        <v>Keyboard</v>
      </c>
      <c r="H40" t="str">
        <v>Electronics</v>
      </c>
      <c r="I40">
        <v>3</v>
      </c>
      <c r="J40">
        <v>89.99</v>
      </c>
      <c r="K40" t="str">
        <v>Credit Card</v>
      </c>
      <c r="L40" t="str">
        <v>North</v>
      </c>
      <c r="M40" t="str">
        <v>Standard</v>
      </c>
      <c r="N40">
        <v>44615</v>
      </c>
      <c r="O40">
        <v>269.97000000000003</v>
      </c>
    </row>
    <row r="41" spans="2:15" x14ac:dyDescent="0.3">
      <c r="B41" t="str">
        <v>TRX0060</v>
      </c>
      <c r="C41">
        <v>45531</v>
      </c>
      <c r="D41" t="str">
        <v>CUST012</v>
      </c>
      <c r="E41" t="str">
        <v>Patricia Moore</v>
      </c>
      <c r="F41" t="str">
        <v>P010</v>
      </c>
      <c r="G41" t="str">
        <v>Keyboard</v>
      </c>
      <c r="H41" t="str">
        <v>Electronics</v>
      </c>
      <c r="I41">
        <v>3</v>
      </c>
      <c r="J41">
        <v>89.99</v>
      </c>
      <c r="K41" t="str">
        <v>Credit Card</v>
      </c>
      <c r="L41" t="str">
        <v>North</v>
      </c>
      <c r="M41" t="str">
        <v>Premium</v>
      </c>
      <c r="N41">
        <v>44420</v>
      </c>
      <c r="O41">
        <v>269.97000000000003</v>
      </c>
    </row>
    <row r="42" spans="2:15" x14ac:dyDescent="0.3">
      <c r="B42" t="str">
        <v>TRX0090</v>
      </c>
      <c r="C42">
        <v>45533</v>
      </c>
      <c r="D42" t="str">
        <v>CUST020</v>
      </c>
      <c r="E42" t="str">
        <v>Margaret Wright</v>
      </c>
      <c r="F42" t="str">
        <v>P009</v>
      </c>
      <c r="G42" t="str">
        <v>Monitor</v>
      </c>
      <c r="H42" t="str">
        <v>Electronics</v>
      </c>
      <c r="I42">
        <v>1</v>
      </c>
      <c r="J42">
        <v>249.99</v>
      </c>
      <c r="K42" t="str">
        <v>Credit Card</v>
      </c>
      <c r="L42" t="str">
        <v>North</v>
      </c>
      <c r="M42" t="str">
        <v>Premium</v>
      </c>
      <c r="N42">
        <v>44828</v>
      </c>
      <c r="O42">
        <v>249.99</v>
      </c>
    </row>
    <row r="43" spans="2:15" x14ac:dyDescent="0.3">
      <c r="B43" t="str">
        <v>TRX0035</v>
      </c>
      <c r="C43">
        <v>45534</v>
      </c>
      <c r="D43" t="str">
        <v>CUST041</v>
      </c>
      <c r="E43" t="str">
        <v>Peter Richardson</v>
      </c>
      <c r="F43" t="str">
        <v>P003</v>
      </c>
      <c r="G43" t="str">
        <v>Headphones</v>
      </c>
      <c r="H43" t="str">
        <v>Electronics</v>
      </c>
      <c r="I43">
        <v>3</v>
      </c>
      <c r="J43">
        <v>149.99</v>
      </c>
      <c r="K43" t="str">
        <v>Cash</v>
      </c>
      <c r="L43" t="str">
        <v>North</v>
      </c>
      <c r="M43" t="str">
        <v>Basic</v>
      </c>
      <c r="N43">
        <v>44769</v>
      </c>
      <c r="O43">
        <v>449.97</v>
      </c>
    </row>
    <row r="44" spans="2:15" x14ac:dyDescent="0.3">
      <c r="B44" t="str">
        <v>TRX0073</v>
      </c>
      <c r="C44">
        <v>45539</v>
      </c>
      <c r="D44" t="str">
        <v>CUST032</v>
      </c>
      <c r="E44" t="str">
        <v>Sandra Phillips</v>
      </c>
      <c r="F44" t="str">
        <v>P008</v>
      </c>
      <c r="G44" t="str">
        <v>Bookshelf</v>
      </c>
      <c r="H44" t="str">
        <v>Furniture</v>
      </c>
      <c r="I44">
        <v>5</v>
      </c>
      <c r="J44">
        <v>149.99</v>
      </c>
      <c r="K44" t="str">
        <v>Cash</v>
      </c>
      <c r="L44" t="str">
        <v>North</v>
      </c>
      <c r="M44" t="str">
        <v>Basic</v>
      </c>
      <c r="N44">
        <v>44869</v>
      </c>
      <c r="O44">
        <v>749.95</v>
      </c>
    </row>
    <row r="45" spans="2:15" x14ac:dyDescent="0.3">
      <c r="B45" t="str">
        <v>TRX0012</v>
      </c>
      <c r="C45">
        <v>45544</v>
      </c>
      <c r="D45" t="str">
        <v>CUST045</v>
      </c>
      <c r="E45" t="str">
        <v>Douglas Watson</v>
      </c>
      <c r="F45" t="str">
        <v>P009</v>
      </c>
      <c r="G45" t="str">
        <v>Monitor</v>
      </c>
      <c r="H45" t="str">
        <v>Electronics</v>
      </c>
      <c r="I45">
        <v>5</v>
      </c>
      <c r="J45">
        <v>249.99</v>
      </c>
      <c r="K45" t="str">
        <v>Credit Card</v>
      </c>
      <c r="L45" t="str">
        <v>North</v>
      </c>
      <c r="M45" t="str">
        <v>Basic</v>
      </c>
      <c r="N45">
        <v>44873</v>
      </c>
      <c r="O45">
        <v>1249.95</v>
      </c>
    </row>
    <row r="46" spans="2:15" x14ac:dyDescent="0.3">
      <c r="B46" t="str">
        <v>TRX0066</v>
      </c>
      <c r="C46">
        <v>45551</v>
      </c>
      <c r="D46" t="str">
        <v>CUST024</v>
      </c>
      <c r="E46" t="str">
        <v>Dorothy Nelson</v>
      </c>
      <c r="F46" t="str">
        <v>P002</v>
      </c>
      <c r="G46" t="str">
        <v>Smartphone</v>
      </c>
      <c r="H46" t="str">
        <v>Electronics</v>
      </c>
      <c r="I46">
        <v>4</v>
      </c>
      <c r="J46">
        <v>699.99</v>
      </c>
      <c r="K46" t="str">
        <v>Credit Card</v>
      </c>
      <c r="L46" t="str">
        <v>North</v>
      </c>
      <c r="M46" t="str">
        <v>Premium</v>
      </c>
      <c r="N46">
        <v>44703</v>
      </c>
      <c r="O46">
        <v>2799.96</v>
      </c>
    </row>
    <row r="47" spans="2:15" x14ac:dyDescent="0.3">
      <c r="B47" t="str">
        <v>TRX0032</v>
      </c>
      <c r="C47">
        <v>45556</v>
      </c>
      <c r="D47" t="str">
        <v>CUST041</v>
      </c>
      <c r="E47" t="str">
        <v>Peter Richardson</v>
      </c>
      <c r="F47" t="str">
        <v>P001</v>
      </c>
      <c r="G47" t="str">
        <v>Laptop</v>
      </c>
      <c r="H47" t="str">
        <v>Electronics</v>
      </c>
      <c r="I47">
        <v>2</v>
      </c>
      <c r="J47">
        <v>899.99</v>
      </c>
      <c r="K47" t="str">
        <v>Cash</v>
      </c>
      <c r="L47" t="str">
        <v>North</v>
      </c>
      <c r="M47" t="str">
        <v>Basic</v>
      </c>
      <c r="N47">
        <v>44406</v>
      </c>
      <c r="O47">
        <v>1799.98</v>
      </c>
    </row>
    <row r="48" spans="2:15" x14ac:dyDescent="0.3">
      <c r="B48" t="str">
        <v>TRX0008</v>
      </c>
      <c r="C48">
        <v>45564</v>
      </c>
      <c r="D48" t="str">
        <v>CUST007</v>
      </c>
      <c r="E48" t="str">
        <v>David Martinez</v>
      </c>
      <c r="F48" t="str">
        <v>P008</v>
      </c>
      <c r="G48" t="str">
        <v>Bookshelf</v>
      </c>
      <c r="H48" t="str">
        <v>Furniture</v>
      </c>
      <c r="I48">
        <v>3</v>
      </c>
      <c r="J48">
        <v>149.99</v>
      </c>
      <c r="K48" t="str">
        <v>Debit Card</v>
      </c>
      <c r="L48" t="str">
        <v>North</v>
      </c>
      <c r="M48" t="str">
        <v>Standard</v>
      </c>
      <c r="N48">
        <v>44522</v>
      </c>
      <c r="O48">
        <v>449.97</v>
      </c>
    </row>
    <row r="49" spans="2:15" x14ac:dyDescent="0.3">
      <c r="B49" t="str">
        <v>TRX0207</v>
      </c>
      <c r="C49">
        <v>45570</v>
      </c>
      <c r="D49" t="str">
        <v>CUST025</v>
      </c>
      <c r="E49" t="str">
        <v>Mark Carter</v>
      </c>
      <c r="F49" t="str">
        <v>P001</v>
      </c>
      <c r="G49" t="str">
        <v>Laptop</v>
      </c>
      <c r="H49" t="str">
        <v>Electronics</v>
      </c>
      <c r="I49">
        <v>1</v>
      </c>
      <c r="J49">
        <v>899.99</v>
      </c>
      <c r="K49" t="str">
        <v>PayPal</v>
      </c>
      <c r="L49" t="str">
        <v>North</v>
      </c>
      <c r="M49" t="str">
        <v>Premium</v>
      </c>
      <c r="N49">
        <v>45050</v>
      </c>
      <c r="O49">
        <v>899.99</v>
      </c>
    </row>
    <row r="50" spans="2:15" x14ac:dyDescent="0.3">
      <c r="B50" t="str">
        <v>TRX0026</v>
      </c>
      <c r="C50">
        <v>45572</v>
      </c>
      <c r="D50" t="str">
        <v>CUST037</v>
      </c>
      <c r="E50" t="str">
        <v>Arthur Edwards</v>
      </c>
      <c r="F50" t="str">
        <v>P001</v>
      </c>
      <c r="G50" t="str">
        <v>Laptop</v>
      </c>
      <c r="H50" t="str">
        <v>Electronics</v>
      </c>
      <c r="I50">
        <v>1</v>
      </c>
      <c r="J50">
        <v>899.99</v>
      </c>
      <c r="K50" t="str">
        <v>PayPal</v>
      </c>
      <c r="L50" t="str">
        <v>North</v>
      </c>
      <c r="M50" t="str">
        <v>Standard</v>
      </c>
      <c r="N50">
        <v>44752</v>
      </c>
      <c r="O50">
        <v>899.99</v>
      </c>
    </row>
    <row r="51" spans="2:15" x14ac:dyDescent="0.3">
      <c r="B51" t="str">
        <v>TRX0238</v>
      </c>
      <c r="C51">
        <v>45579</v>
      </c>
      <c r="D51" t="str">
        <v>CUST038</v>
      </c>
      <c r="E51" t="str">
        <v>Michelle Rogers</v>
      </c>
      <c r="F51" t="str">
        <v>P002</v>
      </c>
      <c r="G51" t="str">
        <v>Smartphone</v>
      </c>
      <c r="H51" t="str">
        <v>Electronics</v>
      </c>
      <c r="I51">
        <v>3</v>
      </c>
      <c r="J51">
        <v>699.99</v>
      </c>
      <c r="K51" t="str">
        <v>Cash</v>
      </c>
      <c r="L51" t="str">
        <v>North</v>
      </c>
      <c r="M51" t="str">
        <v>Premium</v>
      </c>
      <c r="N51">
        <v>44602</v>
      </c>
      <c r="O51">
        <v>2099.9699999999998</v>
      </c>
    </row>
    <row r="52" spans="2:15" x14ac:dyDescent="0.3">
      <c r="B52" t="str">
        <v>TRX0022</v>
      </c>
      <c r="C52">
        <v>45581</v>
      </c>
      <c r="D52" t="str">
        <v>CUST025</v>
      </c>
      <c r="E52" t="str">
        <v>Mark Carter</v>
      </c>
      <c r="F52" t="str">
        <v>P007</v>
      </c>
      <c r="G52" t="str">
        <v>Desk</v>
      </c>
      <c r="H52" t="str">
        <v>Furniture</v>
      </c>
      <c r="I52">
        <v>1</v>
      </c>
      <c r="J52">
        <v>299.99</v>
      </c>
      <c r="K52" t="str">
        <v>Credit Card</v>
      </c>
      <c r="L52" t="str">
        <v>North</v>
      </c>
      <c r="M52" t="str">
        <v>Basic</v>
      </c>
      <c r="N52">
        <v>44436</v>
      </c>
      <c r="O52">
        <v>299.99</v>
      </c>
    </row>
    <row r="53" spans="2:15" x14ac:dyDescent="0.3">
      <c r="B53" t="str">
        <v>TRX0087</v>
      </c>
      <c r="C53">
        <v>45582</v>
      </c>
      <c r="D53" t="str">
        <v>CUST028</v>
      </c>
      <c r="E53" t="str">
        <v>Betty Campbell</v>
      </c>
      <c r="F53" t="str">
        <v>P009</v>
      </c>
      <c r="G53" t="str">
        <v>Monitor</v>
      </c>
      <c r="H53" t="str">
        <v>Electronics</v>
      </c>
      <c r="I53">
        <v>4</v>
      </c>
      <c r="J53">
        <v>249.99</v>
      </c>
      <c r="K53" t="str">
        <v>Credit Card</v>
      </c>
      <c r="L53" t="str">
        <v>North</v>
      </c>
      <c r="M53" t="str">
        <v>Premium</v>
      </c>
      <c r="N53">
        <v>44460</v>
      </c>
      <c r="O53">
        <v>999.96</v>
      </c>
    </row>
    <row r="54" spans="2:15" x14ac:dyDescent="0.3">
      <c r="B54" t="str">
        <v>TRX0107</v>
      </c>
      <c r="C54">
        <v>45583</v>
      </c>
      <c r="D54" t="str">
        <v>CUST030</v>
      </c>
      <c r="E54" t="str">
        <v>Helen Roberts</v>
      </c>
      <c r="F54" t="str">
        <v>P003</v>
      </c>
      <c r="G54" t="str">
        <v>Headphones</v>
      </c>
      <c r="H54" t="str">
        <v>Electronics</v>
      </c>
      <c r="I54">
        <v>2</v>
      </c>
      <c r="J54">
        <v>149.99</v>
      </c>
      <c r="K54" t="str">
        <v>Cash</v>
      </c>
      <c r="L54" t="str">
        <v>North</v>
      </c>
      <c r="M54" t="str">
        <v>Standard</v>
      </c>
      <c r="N54">
        <v>44913</v>
      </c>
      <c r="O54">
        <v>299.98</v>
      </c>
    </row>
    <row r="55" spans="2:15" x14ac:dyDescent="0.3">
      <c r="B55" t="str">
        <v>TRX0024</v>
      </c>
      <c r="C55">
        <v>45598</v>
      </c>
      <c r="D55" t="str">
        <v>CUST042</v>
      </c>
      <c r="E55" t="str">
        <v>Ruth Brooks</v>
      </c>
      <c r="F55" t="str">
        <v>P008</v>
      </c>
      <c r="G55" t="str">
        <v>Bookshelf</v>
      </c>
      <c r="H55" t="str">
        <v>Furniture</v>
      </c>
      <c r="I55">
        <v>3</v>
      </c>
      <c r="J55">
        <v>149.99</v>
      </c>
      <c r="K55" t="str">
        <v>Debit Card</v>
      </c>
      <c r="L55" t="str">
        <v>North</v>
      </c>
      <c r="M55" t="str">
        <v>Premium</v>
      </c>
      <c r="N55">
        <v>44564</v>
      </c>
      <c r="O55">
        <v>449.97</v>
      </c>
    </row>
    <row r="56" spans="2:15" x14ac:dyDescent="0.3">
      <c r="B56" t="str">
        <v>TRX0047</v>
      </c>
      <c r="C56">
        <v>45611</v>
      </c>
      <c r="D56" t="str">
        <v>CUST042</v>
      </c>
      <c r="E56" t="str">
        <v>Ruth Brooks</v>
      </c>
      <c r="F56" t="str">
        <v>P002</v>
      </c>
      <c r="G56" t="str">
        <v>Smartphone</v>
      </c>
      <c r="H56" t="str">
        <v>Electronics</v>
      </c>
      <c r="I56">
        <v>1</v>
      </c>
      <c r="J56">
        <v>699.99</v>
      </c>
      <c r="K56" t="str">
        <v>Cash</v>
      </c>
      <c r="L56" t="str">
        <v>North</v>
      </c>
      <c r="M56" t="str">
        <v>Premium</v>
      </c>
      <c r="N56">
        <v>44583</v>
      </c>
      <c r="O56">
        <v>699.99</v>
      </c>
    </row>
    <row r="57" spans="2:15" x14ac:dyDescent="0.3">
      <c r="B57" t="str">
        <v>TRX0200</v>
      </c>
      <c r="C57">
        <v>45612</v>
      </c>
      <c r="D57" t="str">
        <v>CUST037</v>
      </c>
      <c r="E57" t="str">
        <v>Arthur Edwards</v>
      </c>
      <c r="F57" t="str">
        <v>P008</v>
      </c>
      <c r="G57" t="str">
        <v>Bookshelf</v>
      </c>
      <c r="H57" t="str">
        <v>Furniture</v>
      </c>
      <c r="I57">
        <v>4</v>
      </c>
      <c r="J57">
        <v>149.99</v>
      </c>
      <c r="K57" t="str">
        <v>PayPal</v>
      </c>
      <c r="L57" t="str">
        <v>North</v>
      </c>
      <c r="M57" t="str">
        <v>Premium</v>
      </c>
      <c r="N57">
        <v>44412</v>
      </c>
      <c r="O57">
        <v>599.96</v>
      </c>
    </row>
    <row r="58" spans="2:15" x14ac:dyDescent="0.3">
      <c r="B58" t="str">
        <v>TRX0038</v>
      </c>
      <c r="C58">
        <v>45625</v>
      </c>
      <c r="D58" t="str">
        <v>CUST035</v>
      </c>
      <c r="E58" t="str">
        <v>Harry Morgan</v>
      </c>
      <c r="F58" t="str">
        <v>P009</v>
      </c>
      <c r="G58" t="str">
        <v>Monitor</v>
      </c>
      <c r="H58" t="str">
        <v>Electronics</v>
      </c>
      <c r="I58">
        <v>1</v>
      </c>
      <c r="J58">
        <v>249.99</v>
      </c>
      <c r="K58" t="str">
        <v>Cash</v>
      </c>
      <c r="L58" t="str">
        <v>North</v>
      </c>
      <c r="M58" t="str">
        <v>Standard</v>
      </c>
      <c r="N58">
        <v>45117</v>
      </c>
      <c r="O58">
        <v>249.99</v>
      </c>
    </row>
    <row r="59" spans="2:15" x14ac:dyDescent="0.3">
      <c r="B59" t="str">
        <v>TRX0124</v>
      </c>
      <c r="C59">
        <v>45628</v>
      </c>
      <c r="D59" t="str">
        <v>CUST040</v>
      </c>
      <c r="E59" t="str">
        <v>Sharon Butler</v>
      </c>
      <c r="F59" t="str">
        <v>P001</v>
      </c>
      <c r="G59" t="str">
        <v>Laptop</v>
      </c>
      <c r="H59" t="str">
        <v>Electronics</v>
      </c>
      <c r="I59">
        <v>3</v>
      </c>
      <c r="J59">
        <v>899.99</v>
      </c>
      <c r="K59" t="str">
        <v>Debit Card</v>
      </c>
      <c r="L59" t="str">
        <v>North</v>
      </c>
      <c r="M59" t="str">
        <v>Premium</v>
      </c>
      <c r="N59">
        <v>44876</v>
      </c>
      <c r="O59">
        <v>2699.97</v>
      </c>
    </row>
    <row r="60" spans="2:15" x14ac:dyDescent="0.3">
      <c r="B60" t="str">
        <v>TRX0013</v>
      </c>
      <c r="C60">
        <v>45629</v>
      </c>
      <c r="D60" t="str">
        <v>CUST024</v>
      </c>
      <c r="E60" t="str">
        <v>Dorothy Nelson</v>
      </c>
      <c r="F60" t="str">
        <v>P001</v>
      </c>
      <c r="G60" t="str">
        <v>Laptop</v>
      </c>
      <c r="H60" t="str">
        <v>Electronics</v>
      </c>
      <c r="I60">
        <v>3</v>
      </c>
      <c r="J60">
        <v>899.99</v>
      </c>
      <c r="K60" t="str">
        <v>PayPal</v>
      </c>
      <c r="L60" t="str">
        <v>North</v>
      </c>
      <c r="M60" t="str">
        <v>Basic</v>
      </c>
      <c r="N60">
        <v>44975</v>
      </c>
      <c r="O60">
        <v>2699.97</v>
      </c>
    </row>
    <row r="61" spans="2:15" x14ac:dyDescent="0.3">
      <c r="B61" t="str">
        <v>TRX0068</v>
      </c>
      <c r="C61">
        <v>45636</v>
      </c>
      <c r="D61" t="str">
        <v>CUST044</v>
      </c>
      <c r="E61" t="str">
        <v>Cynthia Price</v>
      </c>
      <c r="F61" t="str">
        <v>P002</v>
      </c>
      <c r="G61" t="str">
        <v>Smartphone</v>
      </c>
      <c r="H61" t="str">
        <v>Electronics</v>
      </c>
      <c r="I61">
        <v>2</v>
      </c>
      <c r="J61">
        <v>699.99</v>
      </c>
      <c r="K61" t="str">
        <v>PayPal</v>
      </c>
      <c r="L61" t="str">
        <v>North</v>
      </c>
      <c r="M61" t="str">
        <v>Standard</v>
      </c>
      <c r="N61">
        <v>44618</v>
      </c>
      <c r="O61">
        <v>1399.98</v>
      </c>
    </row>
    <row r="62" spans="2:15" x14ac:dyDescent="0.3">
      <c r="B62" t="str">
        <v>TRX0039</v>
      </c>
      <c r="C62">
        <v>45638</v>
      </c>
      <c r="D62" t="str">
        <v>CUST048</v>
      </c>
      <c r="E62" t="str">
        <v>Virginia Sanders</v>
      </c>
      <c r="F62" t="str">
        <v>P004</v>
      </c>
      <c r="G62" t="str">
        <v>Coffee Maker</v>
      </c>
      <c r="H62" t="str">
        <v>Appliances</v>
      </c>
      <c r="I62">
        <v>3</v>
      </c>
      <c r="J62">
        <v>79.989999999999995</v>
      </c>
      <c r="K62" t="str">
        <v>Credit Card</v>
      </c>
      <c r="L62" t="str">
        <v>North</v>
      </c>
      <c r="M62" t="str">
        <v>Basic</v>
      </c>
      <c r="N62">
        <v>44511</v>
      </c>
      <c r="O62">
        <v>239.97</v>
      </c>
    </row>
    <row r="63" spans="2:15" x14ac:dyDescent="0.3">
      <c r="B63" t="str">
        <v>TRX0120</v>
      </c>
      <c r="C63">
        <v>45640</v>
      </c>
      <c r="D63" t="str">
        <v>CUST045</v>
      </c>
      <c r="E63" t="str">
        <v>Douglas Watson</v>
      </c>
      <c r="F63" t="str">
        <v>P002</v>
      </c>
      <c r="G63" t="str">
        <v>Smartphone</v>
      </c>
      <c r="H63" t="str">
        <v>Electronics</v>
      </c>
      <c r="I63">
        <v>3</v>
      </c>
      <c r="J63">
        <v>699.99</v>
      </c>
      <c r="K63" t="str">
        <v>PayPal</v>
      </c>
      <c r="L63" t="str">
        <v>North</v>
      </c>
      <c r="M63" t="str">
        <v>Basic</v>
      </c>
      <c r="N63">
        <v>44909</v>
      </c>
      <c r="O63">
        <v>2099.9699999999998</v>
      </c>
    </row>
    <row r="64" spans="2:15" x14ac:dyDescent="0.3">
      <c r="B64" t="str">
        <v>TRX0064</v>
      </c>
      <c r="C64">
        <v>45642</v>
      </c>
      <c r="D64" t="str">
        <v>CUST031</v>
      </c>
      <c r="E64" t="str">
        <v>Steven Turner</v>
      </c>
      <c r="F64" t="str">
        <v>P010</v>
      </c>
      <c r="G64" t="str">
        <v>Keyboard</v>
      </c>
      <c r="H64" t="str">
        <v>Electronics</v>
      </c>
      <c r="I64">
        <v>3</v>
      </c>
      <c r="J64">
        <v>89.99</v>
      </c>
      <c r="K64" t="str">
        <v>Debit Card</v>
      </c>
      <c r="L64" t="str">
        <v>North</v>
      </c>
      <c r="M64" t="str">
        <v>Premium</v>
      </c>
      <c r="N64">
        <v>44878</v>
      </c>
      <c r="O64">
        <v>269.97000000000003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60D67-A9AE-478B-BB05-E7BA0A54095B}">
  <dimension ref="A1:C251"/>
  <sheetViews>
    <sheetView workbookViewId="0">
      <selection activeCell="F17" sqref="F17"/>
    </sheetView>
  </sheetViews>
  <sheetFormatPr defaultRowHeight="14.4" x14ac:dyDescent="0.3"/>
  <cols>
    <col min="1" max="1" width="14" style="31" customWidth="1"/>
    <col min="2" max="2" width="17.33203125" style="31" customWidth="1"/>
    <col min="3" max="3" width="15.109375" style="31" customWidth="1"/>
  </cols>
  <sheetData>
    <row r="1" spans="1:3" x14ac:dyDescent="0.3">
      <c r="A1" s="29" t="s">
        <v>2</v>
      </c>
      <c r="B1" s="29" t="s">
        <v>3</v>
      </c>
      <c r="C1" s="29" t="s">
        <v>13</v>
      </c>
    </row>
    <row r="2" spans="1:3" x14ac:dyDescent="0.3">
      <c r="A2" s="30" t="s">
        <v>15</v>
      </c>
      <c r="B2" s="30" t="s">
        <v>16</v>
      </c>
      <c r="C2" s="30">
        <v>749.97</v>
      </c>
    </row>
    <row r="3" spans="1:3" x14ac:dyDescent="0.3">
      <c r="A3" s="30" t="s">
        <v>24</v>
      </c>
      <c r="B3" s="30" t="s">
        <v>25</v>
      </c>
      <c r="C3" s="30">
        <v>749.97</v>
      </c>
    </row>
    <row r="4" spans="1:3" x14ac:dyDescent="0.3">
      <c r="A4" s="30" t="s">
        <v>29</v>
      </c>
      <c r="B4" s="30" t="s">
        <v>30</v>
      </c>
      <c r="C4" s="30">
        <v>179.97</v>
      </c>
    </row>
    <row r="5" spans="1:3" x14ac:dyDescent="0.3">
      <c r="A5" s="30" t="s">
        <v>38</v>
      </c>
      <c r="B5" s="30" t="s">
        <v>39</v>
      </c>
      <c r="C5" s="30">
        <v>179.97</v>
      </c>
    </row>
    <row r="6" spans="1:3" x14ac:dyDescent="0.3">
      <c r="A6" s="30" t="s">
        <v>42</v>
      </c>
      <c r="B6" s="30" t="s">
        <v>43</v>
      </c>
      <c r="C6" s="30">
        <v>749.95</v>
      </c>
    </row>
    <row r="7" spans="1:3" x14ac:dyDescent="0.3">
      <c r="A7" s="30" t="s">
        <v>48</v>
      </c>
      <c r="B7" s="30" t="s">
        <v>49</v>
      </c>
      <c r="C7" s="30">
        <v>119.98</v>
      </c>
    </row>
    <row r="8" spans="1:3" x14ac:dyDescent="0.3">
      <c r="A8" s="30" t="s">
        <v>48</v>
      </c>
      <c r="B8" s="30" t="s">
        <v>49</v>
      </c>
      <c r="C8" s="30">
        <v>749.95</v>
      </c>
    </row>
    <row r="9" spans="1:3" x14ac:dyDescent="0.3">
      <c r="A9" s="30" t="s">
        <v>55</v>
      </c>
      <c r="B9" s="30" t="s">
        <v>56</v>
      </c>
      <c r="C9" s="30">
        <v>179.97</v>
      </c>
    </row>
    <row r="10" spans="1:3" x14ac:dyDescent="0.3">
      <c r="A10" s="30" t="s">
        <v>59</v>
      </c>
      <c r="B10" s="30" t="s">
        <v>60</v>
      </c>
      <c r="C10" s="30">
        <v>2699.97</v>
      </c>
    </row>
    <row r="11" spans="1:3" x14ac:dyDescent="0.3">
      <c r="A11" s="30" t="s">
        <v>65</v>
      </c>
      <c r="B11" s="30" t="s">
        <v>66</v>
      </c>
      <c r="C11" s="30">
        <v>179.97</v>
      </c>
    </row>
    <row r="12" spans="1:3" x14ac:dyDescent="0.3">
      <c r="A12" s="30" t="s">
        <v>68</v>
      </c>
      <c r="B12" s="30" t="s">
        <v>69</v>
      </c>
      <c r="C12" s="30">
        <v>149.99</v>
      </c>
    </row>
    <row r="13" spans="1:3" x14ac:dyDescent="0.3">
      <c r="A13" s="30" t="s">
        <v>38</v>
      </c>
      <c r="B13" s="30" t="s">
        <v>39</v>
      </c>
      <c r="C13" s="30">
        <v>749.95</v>
      </c>
    </row>
    <row r="14" spans="1:3" x14ac:dyDescent="0.3">
      <c r="A14" s="30" t="s">
        <v>72</v>
      </c>
      <c r="B14" s="30" t="s">
        <v>73</v>
      </c>
      <c r="C14" s="30">
        <v>449.97</v>
      </c>
    </row>
    <row r="15" spans="1:3" x14ac:dyDescent="0.3">
      <c r="A15" s="30" t="s">
        <v>75</v>
      </c>
      <c r="B15" s="30" t="s">
        <v>76</v>
      </c>
      <c r="C15" s="30">
        <v>179.97</v>
      </c>
    </row>
    <row r="16" spans="1:3" x14ac:dyDescent="0.3">
      <c r="A16" s="30" t="s">
        <v>78</v>
      </c>
      <c r="B16" s="30" t="s">
        <v>79</v>
      </c>
      <c r="C16" s="30">
        <v>2099.9699999999998</v>
      </c>
    </row>
    <row r="17" spans="1:3" x14ac:dyDescent="0.3">
      <c r="A17" s="30" t="s">
        <v>83</v>
      </c>
      <c r="B17" s="30" t="s">
        <v>84</v>
      </c>
      <c r="C17" s="30">
        <v>899.99</v>
      </c>
    </row>
    <row r="18" spans="1:3" x14ac:dyDescent="0.3">
      <c r="A18" s="30" t="s">
        <v>86</v>
      </c>
      <c r="B18" s="30" t="s">
        <v>87</v>
      </c>
      <c r="C18" s="30">
        <v>599.96</v>
      </c>
    </row>
    <row r="19" spans="1:3" x14ac:dyDescent="0.3">
      <c r="A19" s="30" t="s">
        <v>89</v>
      </c>
      <c r="B19" s="30" t="s">
        <v>90</v>
      </c>
      <c r="C19" s="30">
        <v>1399.98</v>
      </c>
    </row>
    <row r="20" spans="1:3" x14ac:dyDescent="0.3">
      <c r="A20" s="30" t="s">
        <v>86</v>
      </c>
      <c r="B20" s="30" t="s">
        <v>87</v>
      </c>
      <c r="C20" s="30">
        <v>3599.96</v>
      </c>
    </row>
    <row r="21" spans="1:3" x14ac:dyDescent="0.3">
      <c r="A21" s="30" t="s">
        <v>93</v>
      </c>
      <c r="B21" s="30" t="s">
        <v>94</v>
      </c>
      <c r="C21" s="30">
        <v>749.97</v>
      </c>
    </row>
    <row r="22" spans="1:3" x14ac:dyDescent="0.3">
      <c r="A22" s="30" t="s">
        <v>96</v>
      </c>
      <c r="B22" s="30" t="s">
        <v>97</v>
      </c>
      <c r="C22" s="30">
        <v>3499.95</v>
      </c>
    </row>
    <row r="23" spans="1:3" x14ac:dyDescent="0.3">
      <c r="A23" s="30" t="s">
        <v>99</v>
      </c>
      <c r="B23" s="30" t="s">
        <v>100</v>
      </c>
      <c r="C23" s="30">
        <v>2799.96</v>
      </c>
    </row>
    <row r="24" spans="1:3" x14ac:dyDescent="0.3">
      <c r="A24" s="30" t="s">
        <v>102</v>
      </c>
      <c r="B24" s="30" t="s">
        <v>103</v>
      </c>
      <c r="C24" s="30">
        <v>999.96</v>
      </c>
    </row>
    <row r="25" spans="1:3" x14ac:dyDescent="0.3">
      <c r="A25" s="30" t="s">
        <v>86</v>
      </c>
      <c r="B25" s="30" t="s">
        <v>87</v>
      </c>
      <c r="C25" s="30">
        <v>1199.96</v>
      </c>
    </row>
    <row r="26" spans="1:3" x14ac:dyDescent="0.3">
      <c r="A26" s="30" t="s">
        <v>108</v>
      </c>
      <c r="B26" s="30" t="s">
        <v>109</v>
      </c>
      <c r="C26" s="30">
        <v>1249.95</v>
      </c>
    </row>
    <row r="27" spans="1:3" x14ac:dyDescent="0.3">
      <c r="A27" s="30" t="s">
        <v>68</v>
      </c>
      <c r="B27" s="30" t="s">
        <v>69</v>
      </c>
      <c r="C27" s="30">
        <v>1499.95</v>
      </c>
    </row>
    <row r="28" spans="1:3" x14ac:dyDescent="0.3">
      <c r="A28" s="30" t="s">
        <v>112</v>
      </c>
      <c r="B28" s="30" t="s">
        <v>113</v>
      </c>
      <c r="C28" s="30">
        <v>239.97</v>
      </c>
    </row>
    <row r="29" spans="1:3" x14ac:dyDescent="0.3">
      <c r="A29" s="30" t="s">
        <v>99</v>
      </c>
      <c r="B29" s="30" t="s">
        <v>100</v>
      </c>
      <c r="C29" s="30">
        <v>449.95</v>
      </c>
    </row>
    <row r="30" spans="1:3" x14ac:dyDescent="0.3">
      <c r="A30" s="30" t="s">
        <v>120</v>
      </c>
      <c r="B30" s="30" t="s">
        <v>121</v>
      </c>
      <c r="C30" s="30">
        <v>119.98</v>
      </c>
    </row>
    <row r="31" spans="1:3" x14ac:dyDescent="0.3">
      <c r="A31" s="30" t="s">
        <v>123</v>
      </c>
      <c r="B31" s="30" t="s">
        <v>124</v>
      </c>
      <c r="C31" s="30">
        <v>239.96</v>
      </c>
    </row>
    <row r="32" spans="1:3" x14ac:dyDescent="0.3">
      <c r="A32" s="30" t="s">
        <v>55</v>
      </c>
      <c r="B32" s="30" t="s">
        <v>56</v>
      </c>
      <c r="C32" s="30">
        <v>999.95</v>
      </c>
    </row>
    <row r="33" spans="1:3" x14ac:dyDescent="0.3">
      <c r="A33" s="30" t="s">
        <v>129</v>
      </c>
      <c r="B33" s="30" t="s">
        <v>130</v>
      </c>
      <c r="C33" s="30">
        <v>299.98</v>
      </c>
    </row>
    <row r="34" spans="1:3" x14ac:dyDescent="0.3">
      <c r="A34" s="30" t="s">
        <v>132</v>
      </c>
      <c r="B34" s="30" t="s">
        <v>133</v>
      </c>
      <c r="C34" s="30">
        <v>449.97</v>
      </c>
    </row>
    <row r="35" spans="1:3" x14ac:dyDescent="0.3">
      <c r="A35" s="30" t="s">
        <v>29</v>
      </c>
      <c r="B35" s="30" t="s">
        <v>30</v>
      </c>
      <c r="C35" s="30">
        <v>899.99</v>
      </c>
    </row>
    <row r="36" spans="1:3" x14ac:dyDescent="0.3">
      <c r="A36" s="30" t="s">
        <v>99</v>
      </c>
      <c r="B36" s="30" t="s">
        <v>100</v>
      </c>
      <c r="C36" s="30">
        <v>899.97</v>
      </c>
    </row>
    <row r="37" spans="1:3" x14ac:dyDescent="0.3">
      <c r="A37" s="30" t="s">
        <v>129</v>
      </c>
      <c r="B37" s="30" t="s">
        <v>130</v>
      </c>
      <c r="C37" s="30">
        <v>239.97</v>
      </c>
    </row>
    <row r="38" spans="1:3" x14ac:dyDescent="0.3">
      <c r="A38" s="30" t="s">
        <v>138</v>
      </c>
      <c r="B38" s="30" t="s">
        <v>139</v>
      </c>
      <c r="C38" s="30">
        <v>599.97</v>
      </c>
    </row>
    <row r="39" spans="1:3" x14ac:dyDescent="0.3">
      <c r="A39" s="30" t="s">
        <v>141</v>
      </c>
      <c r="B39" s="30" t="s">
        <v>142</v>
      </c>
      <c r="C39" s="30">
        <v>3499.95</v>
      </c>
    </row>
    <row r="40" spans="1:3" x14ac:dyDescent="0.3">
      <c r="A40" s="30" t="s">
        <v>144</v>
      </c>
      <c r="B40" s="30" t="s">
        <v>145</v>
      </c>
      <c r="C40" s="30">
        <v>269.97000000000003</v>
      </c>
    </row>
    <row r="41" spans="1:3" x14ac:dyDescent="0.3">
      <c r="A41" s="30" t="s">
        <v>147</v>
      </c>
      <c r="B41" s="30" t="s">
        <v>148</v>
      </c>
      <c r="C41" s="30">
        <v>79.989999999999995</v>
      </c>
    </row>
    <row r="42" spans="1:3" x14ac:dyDescent="0.3">
      <c r="A42" s="30" t="s">
        <v>150</v>
      </c>
      <c r="B42" s="30" t="s">
        <v>151</v>
      </c>
      <c r="C42" s="30">
        <v>119.98</v>
      </c>
    </row>
    <row r="43" spans="1:3" x14ac:dyDescent="0.3">
      <c r="A43" s="30" t="s">
        <v>55</v>
      </c>
      <c r="B43" s="30" t="s">
        <v>56</v>
      </c>
      <c r="C43" s="30">
        <v>89.99</v>
      </c>
    </row>
    <row r="44" spans="1:3" x14ac:dyDescent="0.3">
      <c r="A44" s="30" t="s">
        <v>154</v>
      </c>
      <c r="B44" s="30" t="s">
        <v>155</v>
      </c>
      <c r="C44" s="30">
        <v>449.95</v>
      </c>
    </row>
    <row r="45" spans="1:3" x14ac:dyDescent="0.3">
      <c r="A45" s="30" t="s">
        <v>24</v>
      </c>
      <c r="B45" s="30" t="s">
        <v>25</v>
      </c>
      <c r="C45" s="30">
        <v>1249.95</v>
      </c>
    </row>
    <row r="46" spans="1:3" x14ac:dyDescent="0.3">
      <c r="A46" s="30" t="s">
        <v>158</v>
      </c>
      <c r="B46" s="30" t="s">
        <v>159</v>
      </c>
      <c r="C46" s="30">
        <v>89.99</v>
      </c>
    </row>
    <row r="47" spans="1:3" x14ac:dyDescent="0.3">
      <c r="A47" s="30" t="s">
        <v>42</v>
      </c>
      <c r="B47" s="30" t="s">
        <v>43</v>
      </c>
      <c r="C47" s="30">
        <v>299.98</v>
      </c>
    </row>
    <row r="48" spans="1:3" x14ac:dyDescent="0.3">
      <c r="A48" s="30" t="s">
        <v>162</v>
      </c>
      <c r="B48" s="30" t="s">
        <v>163</v>
      </c>
      <c r="C48" s="30">
        <v>239.96</v>
      </c>
    </row>
    <row r="49" spans="1:3" x14ac:dyDescent="0.3">
      <c r="A49" s="30" t="s">
        <v>129</v>
      </c>
      <c r="B49" s="30" t="s">
        <v>130</v>
      </c>
      <c r="C49" s="30">
        <v>449.95</v>
      </c>
    </row>
    <row r="50" spans="1:3" x14ac:dyDescent="0.3">
      <c r="A50" s="30" t="s">
        <v>99</v>
      </c>
      <c r="B50" s="30" t="s">
        <v>100</v>
      </c>
      <c r="C50" s="30">
        <v>179.98</v>
      </c>
    </row>
    <row r="51" spans="1:3" x14ac:dyDescent="0.3">
      <c r="A51" s="30" t="s">
        <v>15</v>
      </c>
      <c r="B51" s="30" t="s">
        <v>16</v>
      </c>
      <c r="C51" s="30">
        <v>4499.95</v>
      </c>
    </row>
    <row r="52" spans="1:3" x14ac:dyDescent="0.3">
      <c r="A52" s="30" t="s">
        <v>123</v>
      </c>
      <c r="B52" s="30" t="s">
        <v>124</v>
      </c>
      <c r="C52" s="30">
        <v>4499.95</v>
      </c>
    </row>
    <row r="53" spans="1:3" x14ac:dyDescent="0.3">
      <c r="A53" s="30" t="s">
        <v>158</v>
      </c>
      <c r="B53" s="30" t="s">
        <v>159</v>
      </c>
      <c r="C53" s="30">
        <v>59.99</v>
      </c>
    </row>
    <row r="54" spans="1:3" x14ac:dyDescent="0.3">
      <c r="A54" s="30" t="s">
        <v>141</v>
      </c>
      <c r="B54" s="30" t="s">
        <v>142</v>
      </c>
      <c r="C54" s="30">
        <v>599.98</v>
      </c>
    </row>
    <row r="55" spans="1:3" x14ac:dyDescent="0.3">
      <c r="A55" s="30" t="s">
        <v>171</v>
      </c>
      <c r="B55" s="30" t="s">
        <v>172</v>
      </c>
      <c r="C55" s="30">
        <v>359.96</v>
      </c>
    </row>
    <row r="56" spans="1:3" x14ac:dyDescent="0.3">
      <c r="A56" s="30" t="s">
        <v>29</v>
      </c>
      <c r="B56" s="30" t="s">
        <v>30</v>
      </c>
      <c r="C56" s="30">
        <v>79.989999999999995</v>
      </c>
    </row>
    <row r="57" spans="1:3" x14ac:dyDescent="0.3">
      <c r="A57" s="30" t="s">
        <v>59</v>
      </c>
      <c r="B57" s="30" t="s">
        <v>60</v>
      </c>
      <c r="C57" s="30">
        <v>179.98</v>
      </c>
    </row>
    <row r="58" spans="1:3" x14ac:dyDescent="0.3">
      <c r="A58" s="30" t="s">
        <v>38</v>
      </c>
      <c r="B58" s="30" t="s">
        <v>39</v>
      </c>
      <c r="C58" s="30">
        <v>2099.9699999999998</v>
      </c>
    </row>
    <row r="59" spans="1:3" x14ac:dyDescent="0.3">
      <c r="A59" s="30" t="s">
        <v>99</v>
      </c>
      <c r="B59" s="30" t="s">
        <v>100</v>
      </c>
      <c r="C59" s="30">
        <v>3599.96</v>
      </c>
    </row>
    <row r="60" spans="1:3" x14ac:dyDescent="0.3">
      <c r="A60" s="30" t="s">
        <v>120</v>
      </c>
      <c r="B60" s="30" t="s">
        <v>121</v>
      </c>
      <c r="C60" s="30">
        <v>149.99</v>
      </c>
    </row>
    <row r="61" spans="1:3" x14ac:dyDescent="0.3">
      <c r="A61" s="30" t="s">
        <v>132</v>
      </c>
      <c r="B61" s="30" t="s">
        <v>133</v>
      </c>
      <c r="C61" s="30">
        <v>179.98</v>
      </c>
    </row>
    <row r="62" spans="1:3" x14ac:dyDescent="0.3">
      <c r="A62" s="30" t="s">
        <v>55</v>
      </c>
      <c r="B62" s="30" t="s">
        <v>56</v>
      </c>
      <c r="C62" s="30">
        <v>89.99</v>
      </c>
    </row>
    <row r="63" spans="1:3" x14ac:dyDescent="0.3">
      <c r="A63" s="30" t="s">
        <v>68</v>
      </c>
      <c r="B63" s="30" t="s">
        <v>69</v>
      </c>
      <c r="C63" s="30">
        <v>89.99</v>
      </c>
    </row>
    <row r="64" spans="1:3" x14ac:dyDescent="0.3">
      <c r="A64" s="30" t="s">
        <v>182</v>
      </c>
      <c r="B64" s="30" t="s">
        <v>183</v>
      </c>
      <c r="C64" s="30">
        <v>399.95</v>
      </c>
    </row>
    <row r="65" spans="1:3" x14ac:dyDescent="0.3">
      <c r="A65" s="30" t="s">
        <v>185</v>
      </c>
      <c r="B65" s="30" t="s">
        <v>186</v>
      </c>
      <c r="C65" s="30">
        <v>149.99</v>
      </c>
    </row>
    <row r="66" spans="1:3" x14ac:dyDescent="0.3">
      <c r="A66" s="30" t="s">
        <v>42</v>
      </c>
      <c r="B66" s="30" t="s">
        <v>43</v>
      </c>
      <c r="C66" s="30">
        <v>1399.98</v>
      </c>
    </row>
    <row r="67" spans="1:3" x14ac:dyDescent="0.3">
      <c r="A67" s="30" t="s">
        <v>96</v>
      </c>
      <c r="B67" s="30" t="s">
        <v>97</v>
      </c>
      <c r="C67" s="30">
        <v>449.95</v>
      </c>
    </row>
    <row r="68" spans="1:3" x14ac:dyDescent="0.3">
      <c r="A68" s="30" t="s">
        <v>171</v>
      </c>
      <c r="B68" s="30" t="s">
        <v>172</v>
      </c>
      <c r="C68" s="30">
        <v>239.96</v>
      </c>
    </row>
    <row r="69" spans="1:3" x14ac:dyDescent="0.3">
      <c r="A69" s="30" t="s">
        <v>24</v>
      </c>
      <c r="B69" s="30" t="s">
        <v>25</v>
      </c>
      <c r="C69" s="30">
        <v>149.99</v>
      </c>
    </row>
    <row r="70" spans="1:3" x14ac:dyDescent="0.3">
      <c r="A70" s="30" t="s">
        <v>192</v>
      </c>
      <c r="B70" s="30" t="s">
        <v>193</v>
      </c>
      <c r="C70" s="30">
        <v>299.99</v>
      </c>
    </row>
    <row r="71" spans="1:3" x14ac:dyDescent="0.3">
      <c r="A71" s="30" t="s">
        <v>192</v>
      </c>
      <c r="B71" s="30" t="s">
        <v>193</v>
      </c>
      <c r="C71" s="30">
        <v>399.98</v>
      </c>
    </row>
    <row r="72" spans="1:3" x14ac:dyDescent="0.3">
      <c r="A72" s="30" t="s">
        <v>196</v>
      </c>
      <c r="B72" s="30" t="s">
        <v>197</v>
      </c>
      <c r="C72" s="30">
        <v>179.97</v>
      </c>
    </row>
    <row r="73" spans="1:3" x14ac:dyDescent="0.3">
      <c r="A73" s="30" t="s">
        <v>72</v>
      </c>
      <c r="B73" s="30" t="s">
        <v>73</v>
      </c>
      <c r="C73" s="30">
        <v>449.97</v>
      </c>
    </row>
    <row r="74" spans="1:3" x14ac:dyDescent="0.3">
      <c r="A74" s="30" t="s">
        <v>65</v>
      </c>
      <c r="B74" s="30" t="s">
        <v>66</v>
      </c>
      <c r="C74" s="30">
        <v>599.97</v>
      </c>
    </row>
    <row r="75" spans="1:3" x14ac:dyDescent="0.3">
      <c r="A75" s="30" t="s">
        <v>150</v>
      </c>
      <c r="B75" s="30" t="s">
        <v>151</v>
      </c>
      <c r="C75" s="30">
        <v>899.99</v>
      </c>
    </row>
    <row r="76" spans="1:3" x14ac:dyDescent="0.3">
      <c r="A76" s="30" t="s">
        <v>24</v>
      </c>
      <c r="B76" s="30" t="s">
        <v>25</v>
      </c>
      <c r="C76" s="30">
        <v>4499.95</v>
      </c>
    </row>
    <row r="77" spans="1:3" x14ac:dyDescent="0.3">
      <c r="A77" s="30" t="s">
        <v>182</v>
      </c>
      <c r="B77" s="30" t="s">
        <v>183</v>
      </c>
      <c r="C77" s="30">
        <v>119.98</v>
      </c>
    </row>
    <row r="78" spans="1:3" x14ac:dyDescent="0.3">
      <c r="A78" s="30" t="s">
        <v>196</v>
      </c>
      <c r="B78" s="30" t="s">
        <v>197</v>
      </c>
      <c r="C78" s="30">
        <v>999.96</v>
      </c>
    </row>
    <row r="79" spans="1:3" x14ac:dyDescent="0.3">
      <c r="A79" s="30" t="s">
        <v>96</v>
      </c>
      <c r="B79" s="30" t="s">
        <v>97</v>
      </c>
      <c r="C79" s="30">
        <v>499.98</v>
      </c>
    </row>
    <row r="80" spans="1:3" x14ac:dyDescent="0.3">
      <c r="A80" s="30" t="s">
        <v>147</v>
      </c>
      <c r="B80" s="30" t="s">
        <v>148</v>
      </c>
      <c r="C80" s="30">
        <v>299.99</v>
      </c>
    </row>
    <row r="81" spans="1:3" x14ac:dyDescent="0.3">
      <c r="A81" s="30" t="s">
        <v>86</v>
      </c>
      <c r="B81" s="30" t="s">
        <v>87</v>
      </c>
      <c r="C81" s="30">
        <v>179.98</v>
      </c>
    </row>
    <row r="82" spans="1:3" x14ac:dyDescent="0.3">
      <c r="A82" s="30" t="s">
        <v>147</v>
      </c>
      <c r="B82" s="30" t="s">
        <v>148</v>
      </c>
      <c r="C82" s="30">
        <v>899.97</v>
      </c>
    </row>
    <row r="83" spans="1:3" x14ac:dyDescent="0.3">
      <c r="A83" s="30" t="s">
        <v>86</v>
      </c>
      <c r="B83" s="30" t="s">
        <v>87</v>
      </c>
      <c r="C83" s="30">
        <v>1399.98</v>
      </c>
    </row>
    <row r="84" spans="1:3" x14ac:dyDescent="0.3">
      <c r="A84" s="30" t="s">
        <v>120</v>
      </c>
      <c r="B84" s="30" t="s">
        <v>121</v>
      </c>
      <c r="C84" s="30">
        <v>3599.96</v>
      </c>
    </row>
    <row r="85" spans="1:3" x14ac:dyDescent="0.3">
      <c r="A85" s="30" t="s">
        <v>211</v>
      </c>
      <c r="B85" s="30" t="s">
        <v>212</v>
      </c>
      <c r="C85" s="30">
        <v>299.98</v>
      </c>
    </row>
    <row r="86" spans="1:3" x14ac:dyDescent="0.3">
      <c r="A86" s="30" t="s">
        <v>102</v>
      </c>
      <c r="B86" s="30" t="s">
        <v>103</v>
      </c>
      <c r="C86" s="30">
        <v>299.98</v>
      </c>
    </row>
    <row r="87" spans="1:3" x14ac:dyDescent="0.3">
      <c r="A87" s="30" t="s">
        <v>89</v>
      </c>
      <c r="B87" s="30" t="s">
        <v>90</v>
      </c>
      <c r="C87" s="30">
        <v>89.99</v>
      </c>
    </row>
    <row r="88" spans="1:3" x14ac:dyDescent="0.3">
      <c r="A88" s="30" t="s">
        <v>86</v>
      </c>
      <c r="B88" s="30" t="s">
        <v>87</v>
      </c>
      <c r="C88" s="30">
        <v>1499.95</v>
      </c>
    </row>
    <row r="89" spans="1:3" x14ac:dyDescent="0.3">
      <c r="A89" s="30" t="s">
        <v>182</v>
      </c>
      <c r="B89" s="30" t="s">
        <v>183</v>
      </c>
      <c r="C89" s="30">
        <v>599.96</v>
      </c>
    </row>
    <row r="90" spans="1:3" x14ac:dyDescent="0.3">
      <c r="A90" s="30" t="s">
        <v>185</v>
      </c>
      <c r="B90" s="30" t="s">
        <v>186</v>
      </c>
      <c r="C90" s="30">
        <v>1249.95</v>
      </c>
    </row>
    <row r="91" spans="1:3" x14ac:dyDescent="0.3">
      <c r="A91" s="30" t="s">
        <v>65</v>
      </c>
      <c r="B91" s="30" t="s">
        <v>66</v>
      </c>
      <c r="C91" s="30">
        <v>749.97</v>
      </c>
    </row>
    <row r="92" spans="1:3" x14ac:dyDescent="0.3">
      <c r="A92" s="30" t="s">
        <v>38</v>
      </c>
      <c r="B92" s="30" t="s">
        <v>39</v>
      </c>
      <c r="C92" s="30">
        <v>799.96</v>
      </c>
    </row>
    <row r="93" spans="1:3" x14ac:dyDescent="0.3">
      <c r="A93" s="30" t="s">
        <v>158</v>
      </c>
      <c r="B93" s="30" t="s">
        <v>159</v>
      </c>
      <c r="C93" s="30">
        <v>999.95</v>
      </c>
    </row>
    <row r="94" spans="1:3" x14ac:dyDescent="0.3">
      <c r="A94" s="30" t="s">
        <v>86</v>
      </c>
      <c r="B94" s="30" t="s">
        <v>87</v>
      </c>
      <c r="C94" s="30">
        <v>179.98</v>
      </c>
    </row>
    <row r="95" spans="1:3" x14ac:dyDescent="0.3">
      <c r="A95" s="30" t="s">
        <v>196</v>
      </c>
      <c r="B95" s="30" t="s">
        <v>197</v>
      </c>
      <c r="C95" s="30">
        <v>4499.95</v>
      </c>
    </row>
    <row r="96" spans="1:3" x14ac:dyDescent="0.3">
      <c r="A96" s="30" t="s">
        <v>108</v>
      </c>
      <c r="B96" s="30" t="s">
        <v>109</v>
      </c>
      <c r="C96" s="30">
        <v>449.97</v>
      </c>
    </row>
    <row r="97" spans="1:3" x14ac:dyDescent="0.3">
      <c r="A97" s="30" t="s">
        <v>102</v>
      </c>
      <c r="B97" s="30" t="s">
        <v>103</v>
      </c>
      <c r="C97" s="30">
        <v>749.95</v>
      </c>
    </row>
    <row r="98" spans="1:3" x14ac:dyDescent="0.3">
      <c r="A98" s="30" t="s">
        <v>226</v>
      </c>
      <c r="B98" s="30" t="s">
        <v>227</v>
      </c>
      <c r="C98" s="30">
        <v>239.97</v>
      </c>
    </row>
    <row r="99" spans="1:3" x14ac:dyDescent="0.3">
      <c r="A99" s="30" t="s">
        <v>144</v>
      </c>
      <c r="B99" s="30" t="s">
        <v>145</v>
      </c>
      <c r="C99" s="30">
        <v>499.98</v>
      </c>
    </row>
    <row r="100" spans="1:3" x14ac:dyDescent="0.3">
      <c r="A100" s="30" t="s">
        <v>196</v>
      </c>
      <c r="B100" s="30" t="s">
        <v>197</v>
      </c>
      <c r="C100" s="30">
        <v>699.99</v>
      </c>
    </row>
    <row r="101" spans="1:3" x14ac:dyDescent="0.3">
      <c r="A101" s="30" t="s">
        <v>231</v>
      </c>
      <c r="B101" s="30" t="s">
        <v>232</v>
      </c>
      <c r="C101" s="30">
        <v>449.97</v>
      </c>
    </row>
    <row r="102" spans="1:3" x14ac:dyDescent="0.3">
      <c r="A102" s="30" t="s">
        <v>234</v>
      </c>
      <c r="B102" s="30" t="s">
        <v>235</v>
      </c>
      <c r="C102" s="30">
        <v>1399.98</v>
      </c>
    </row>
    <row r="103" spans="1:3" x14ac:dyDescent="0.3">
      <c r="A103" s="30" t="s">
        <v>231</v>
      </c>
      <c r="B103" s="30" t="s">
        <v>232</v>
      </c>
      <c r="C103" s="30">
        <v>249.99</v>
      </c>
    </row>
    <row r="104" spans="1:3" x14ac:dyDescent="0.3">
      <c r="A104" s="30" t="s">
        <v>15</v>
      </c>
      <c r="B104" s="30" t="s">
        <v>16</v>
      </c>
      <c r="C104" s="30">
        <v>249.99</v>
      </c>
    </row>
    <row r="105" spans="1:3" x14ac:dyDescent="0.3">
      <c r="A105" s="30" t="s">
        <v>226</v>
      </c>
      <c r="B105" s="30" t="s">
        <v>227</v>
      </c>
      <c r="C105" s="30">
        <v>1399.98</v>
      </c>
    </row>
    <row r="106" spans="1:3" x14ac:dyDescent="0.3">
      <c r="A106" s="30" t="s">
        <v>138</v>
      </c>
      <c r="B106" s="30" t="s">
        <v>139</v>
      </c>
      <c r="C106" s="30">
        <v>179.97</v>
      </c>
    </row>
    <row r="107" spans="1:3" x14ac:dyDescent="0.3">
      <c r="A107" s="30" t="s">
        <v>132</v>
      </c>
      <c r="B107" s="30" t="s">
        <v>133</v>
      </c>
      <c r="C107" s="30">
        <v>179.97</v>
      </c>
    </row>
    <row r="108" spans="1:3" x14ac:dyDescent="0.3">
      <c r="A108" s="30" t="s">
        <v>141</v>
      </c>
      <c r="B108" s="30" t="s">
        <v>142</v>
      </c>
      <c r="C108" s="30">
        <v>319.95999999999998</v>
      </c>
    </row>
    <row r="109" spans="1:3" x14ac:dyDescent="0.3">
      <c r="A109" s="30" t="s">
        <v>55</v>
      </c>
      <c r="B109" s="30" t="s">
        <v>56</v>
      </c>
      <c r="C109" s="30">
        <v>79.989999999999995</v>
      </c>
    </row>
    <row r="110" spans="1:3" x14ac:dyDescent="0.3">
      <c r="A110" s="30" t="s">
        <v>48</v>
      </c>
      <c r="B110" s="30" t="s">
        <v>49</v>
      </c>
      <c r="C110" s="30">
        <v>899.97</v>
      </c>
    </row>
    <row r="111" spans="1:3" x14ac:dyDescent="0.3">
      <c r="A111" s="30" t="s">
        <v>38</v>
      </c>
      <c r="B111" s="30" t="s">
        <v>39</v>
      </c>
      <c r="C111" s="30">
        <v>179.98</v>
      </c>
    </row>
    <row r="112" spans="1:3" x14ac:dyDescent="0.3">
      <c r="A112" s="30" t="s">
        <v>246</v>
      </c>
      <c r="B112" s="30" t="s">
        <v>247</v>
      </c>
      <c r="C112" s="30">
        <v>599.96</v>
      </c>
    </row>
    <row r="113" spans="1:3" x14ac:dyDescent="0.3">
      <c r="A113" s="30" t="s">
        <v>65</v>
      </c>
      <c r="B113" s="30" t="s">
        <v>66</v>
      </c>
      <c r="C113" s="30">
        <v>499.98</v>
      </c>
    </row>
    <row r="114" spans="1:3" x14ac:dyDescent="0.3">
      <c r="A114" s="30" t="s">
        <v>154</v>
      </c>
      <c r="B114" s="30" t="s">
        <v>155</v>
      </c>
      <c r="C114" s="30">
        <v>799.96</v>
      </c>
    </row>
    <row r="115" spans="1:3" x14ac:dyDescent="0.3">
      <c r="A115" s="30" t="s">
        <v>147</v>
      </c>
      <c r="B115" s="30" t="s">
        <v>148</v>
      </c>
      <c r="C115" s="30">
        <v>449.95</v>
      </c>
    </row>
    <row r="116" spans="1:3" x14ac:dyDescent="0.3">
      <c r="A116" s="30" t="s">
        <v>252</v>
      </c>
      <c r="B116" s="30" t="s">
        <v>253</v>
      </c>
      <c r="C116" s="30">
        <v>149.99</v>
      </c>
    </row>
    <row r="117" spans="1:3" x14ac:dyDescent="0.3">
      <c r="A117" s="30" t="s">
        <v>72</v>
      </c>
      <c r="B117" s="30" t="s">
        <v>73</v>
      </c>
      <c r="C117" s="30">
        <v>2799.96</v>
      </c>
    </row>
    <row r="118" spans="1:3" x14ac:dyDescent="0.3">
      <c r="A118" s="30" t="s">
        <v>234</v>
      </c>
      <c r="B118" s="30" t="s">
        <v>235</v>
      </c>
      <c r="C118" s="30">
        <v>2699.97</v>
      </c>
    </row>
    <row r="119" spans="1:3" x14ac:dyDescent="0.3">
      <c r="A119" s="30" t="s">
        <v>112</v>
      </c>
      <c r="B119" s="30" t="s">
        <v>113</v>
      </c>
      <c r="C119" s="30">
        <v>449.97</v>
      </c>
    </row>
    <row r="120" spans="1:3" x14ac:dyDescent="0.3">
      <c r="A120" s="30" t="s">
        <v>99</v>
      </c>
      <c r="B120" s="30" t="s">
        <v>100</v>
      </c>
      <c r="C120" s="30">
        <v>599.98</v>
      </c>
    </row>
    <row r="121" spans="1:3" x14ac:dyDescent="0.3">
      <c r="A121" s="30" t="s">
        <v>259</v>
      </c>
      <c r="B121" s="30" t="s">
        <v>260</v>
      </c>
      <c r="C121" s="30">
        <v>199.99</v>
      </c>
    </row>
    <row r="122" spans="1:3" x14ac:dyDescent="0.3">
      <c r="A122" s="30" t="s">
        <v>42</v>
      </c>
      <c r="B122" s="30" t="s">
        <v>43</v>
      </c>
      <c r="C122" s="30">
        <v>1199.96</v>
      </c>
    </row>
    <row r="123" spans="1:3" x14ac:dyDescent="0.3">
      <c r="A123" s="30" t="s">
        <v>89</v>
      </c>
      <c r="B123" s="30" t="s">
        <v>90</v>
      </c>
      <c r="C123" s="30">
        <v>119.98</v>
      </c>
    </row>
    <row r="124" spans="1:3" x14ac:dyDescent="0.3">
      <c r="A124" s="30" t="s">
        <v>234</v>
      </c>
      <c r="B124" s="30" t="s">
        <v>235</v>
      </c>
      <c r="C124" s="30">
        <v>599.96</v>
      </c>
    </row>
    <row r="125" spans="1:3" x14ac:dyDescent="0.3">
      <c r="A125" s="30" t="s">
        <v>211</v>
      </c>
      <c r="B125" s="30" t="s">
        <v>212</v>
      </c>
      <c r="C125" s="30">
        <v>1399.98</v>
      </c>
    </row>
    <row r="126" spans="1:3" x14ac:dyDescent="0.3">
      <c r="A126" s="30" t="s">
        <v>231</v>
      </c>
      <c r="B126" s="30" t="s">
        <v>232</v>
      </c>
      <c r="C126" s="30">
        <v>449.97</v>
      </c>
    </row>
    <row r="127" spans="1:3" x14ac:dyDescent="0.3">
      <c r="A127" s="30" t="s">
        <v>147</v>
      </c>
      <c r="B127" s="30" t="s">
        <v>148</v>
      </c>
      <c r="C127" s="30">
        <v>899.97</v>
      </c>
    </row>
    <row r="128" spans="1:3" x14ac:dyDescent="0.3">
      <c r="A128" s="30" t="s">
        <v>83</v>
      </c>
      <c r="B128" s="30" t="s">
        <v>84</v>
      </c>
      <c r="C128" s="30">
        <v>2699.97</v>
      </c>
    </row>
    <row r="129" spans="1:3" x14ac:dyDescent="0.3">
      <c r="A129" s="30" t="s">
        <v>96</v>
      </c>
      <c r="B129" s="30" t="s">
        <v>97</v>
      </c>
      <c r="C129" s="30">
        <v>3499.95</v>
      </c>
    </row>
    <row r="130" spans="1:3" x14ac:dyDescent="0.3">
      <c r="A130" s="30" t="s">
        <v>171</v>
      </c>
      <c r="B130" s="30" t="s">
        <v>172</v>
      </c>
      <c r="C130" s="30">
        <v>2799.96</v>
      </c>
    </row>
    <row r="131" spans="1:3" x14ac:dyDescent="0.3">
      <c r="A131" s="30" t="s">
        <v>150</v>
      </c>
      <c r="B131" s="30" t="s">
        <v>151</v>
      </c>
      <c r="C131" s="30">
        <v>899.99</v>
      </c>
    </row>
    <row r="132" spans="1:3" x14ac:dyDescent="0.3">
      <c r="A132" s="30" t="s">
        <v>226</v>
      </c>
      <c r="B132" s="30" t="s">
        <v>227</v>
      </c>
      <c r="C132" s="30">
        <v>299.98</v>
      </c>
    </row>
    <row r="133" spans="1:3" x14ac:dyDescent="0.3">
      <c r="A133" s="30" t="s">
        <v>226</v>
      </c>
      <c r="B133" s="30" t="s">
        <v>227</v>
      </c>
      <c r="C133" s="30">
        <v>269.97000000000003</v>
      </c>
    </row>
    <row r="134" spans="1:3" x14ac:dyDescent="0.3">
      <c r="A134" s="30" t="s">
        <v>38</v>
      </c>
      <c r="B134" s="30" t="s">
        <v>39</v>
      </c>
      <c r="C134" s="30">
        <v>299.98</v>
      </c>
    </row>
    <row r="135" spans="1:3" x14ac:dyDescent="0.3">
      <c r="A135" s="30" t="s">
        <v>154</v>
      </c>
      <c r="B135" s="30" t="s">
        <v>155</v>
      </c>
      <c r="C135" s="30">
        <v>1399.98</v>
      </c>
    </row>
    <row r="136" spans="1:3" x14ac:dyDescent="0.3">
      <c r="A136" s="30" t="s">
        <v>158</v>
      </c>
      <c r="B136" s="30" t="s">
        <v>159</v>
      </c>
      <c r="C136" s="30">
        <v>3499.95</v>
      </c>
    </row>
    <row r="137" spans="1:3" x14ac:dyDescent="0.3">
      <c r="A137" s="30" t="s">
        <v>171</v>
      </c>
      <c r="B137" s="30" t="s">
        <v>172</v>
      </c>
      <c r="C137" s="30">
        <v>269.97000000000003</v>
      </c>
    </row>
    <row r="138" spans="1:3" x14ac:dyDescent="0.3">
      <c r="A138" s="30" t="s">
        <v>15</v>
      </c>
      <c r="B138" s="30" t="s">
        <v>16</v>
      </c>
      <c r="C138" s="30">
        <v>1249.95</v>
      </c>
    </row>
    <row r="139" spans="1:3" x14ac:dyDescent="0.3">
      <c r="A139" s="30" t="s">
        <v>65</v>
      </c>
      <c r="B139" s="30" t="s">
        <v>66</v>
      </c>
      <c r="C139" s="30">
        <v>899.97</v>
      </c>
    </row>
    <row r="140" spans="1:3" x14ac:dyDescent="0.3">
      <c r="A140" s="30" t="s">
        <v>99</v>
      </c>
      <c r="B140" s="30" t="s">
        <v>100</v>
      </c>
      <c r="C140" s="30">
        <v>269.97000000000003</v>
      </c>
    </row>
    <row r="141" spans="1:3" x14ac:dyDescent="0.3">
      <c r="A141" s="30" t="s">
        <v>89</v>
      </c>
      <c r="B141" s="30" t="s">
        <v>90</v>
      </c>
      <c r="C141" s="30">
        <v>299.98</v>
      </c>
    </row>
    <row r="142" spans="1:3" x14ac:dyDescent="0.3">
      <c r="A142" s="30" t="s">
        <v>185</v>
      </c>
      <c r="B142" s="30" t="s">
        <v>186</v>
      </c>
      <c r="C142" s="30">
        <v>249.99</v>
      </c>
    </row>
    <row r="143" spans="1:3" x14ac:dyDescent="0.3">
      <c r="A143" s="30" t="s">
        <v>72</v>
      </c>
      <c r="B143" s="30" t="s">
        <v>73</v>
      </c>
      <c r="C143" s="30">
        <v>449.97</v>
      </c>
    </row>
    <row r="144" spans="1:3" x14ac:dyDescent="0.3">
      <c r="A144" s="30" t="s">
        <v>15</v>
      </c>
      <c r="B144" s="30" t="s">
        <v>16</v>
      </c>
      <c r="C144" s="30">
        <v>299.95</v>
      </c>
    </row>
    <row r="145" spans="1:3" x14ac:dyDescent="0.3">
      <c r="A145" s="30" t="s">
        <v>99</v>
      </c>
      <c r="B145" s="30" t="s">
        <v>100</v>
      </c>
      <c r="C145" s="30">
        <v>999.96</v>
      </c>
    </row>
    <row r="146" spans="1:3" x14ac:dyDescent="0.3">
      <c r="A146" s="30" t="s">
        <v>154</v>
      </c>
      <c r="B146" s="30" t="s">
        <v>155</v>
      </c>
      <c r="C146" s="30">
        <v>749.95</v>
      </c>
    </row>
    <row r="147" spans="1:3" x14ac:dyDescent="0.3">
      <c r="A147" s="30" t="s">
        <v>83</v>
      </c>
      <c r="B147" s="30" t="s">
        <v>84</v>
      </c>
      <c r="C147" s="30">
        <v>179.97</v>
      </c>
    </row>
    <row r="148" spans="1:3" x14ac:dyDescent="0.3">
      <c r="A148" s="30" t="s">
        <v>234</v>
      </c>
      <c r="B148" s="30" t="s">
        <v>235</v>
      </c>
      <c r="C148" s="30">
        <v>749.95</v>
      </c>
    </row>
    <row r="149" spans="1:3" x14ac:dyDescent="0.3">
      <c r="A149" s="30" t="s">
        <v>86</v>
      </c>
      <c r="B149" s="30" t="s">
        <v>87</v>
      </c>
      <c r="C149" s="30">
        <v>1399.98</v>
      </c>
    </row>
    <row r="150" spans="1:3" x14ac:dyDescent="0.3">
      <c r="A150" s="30" t="s">
        <v>123</v>
      </c>
      <c r="B150" s="30" t="s">
        <v>124</v>
      </c>
      <c r="C150" s="30">
        <v>799.96</v>
      </c>
    </row>
    <row r="151" spans="1:3" x14ac:dyDescent="0.3">
      <c r="A151" s="30" t="s">
        <v>192</v>
      </c>
      <c r="B151" s="30" t="s">
        <v>193</v>
      </c>
      <c r="C151" s="30">
        <v>59.99</v>
      </c>
    </row>
    <row r="152" spans="1:3" x14ac:dyDescent="0.3">
      <c r="A152" s="30" t="s">
        <v>154</v>
      </c>
      <c r="B152" s="30" t="s">
        <v>155</v>
      </c>
      <c r="C152" s="30">
        <v>2099.9699999999998</v>
      </c>
    </row>
    <row r="153" spans="1:3" x14ac:dyDescent="0.3">
      <c r="A153" s="30" t="s">
        <v>293</v>
      </c>
      <c r="B153" s="30" t="s">
        <v>294</v>
      </c>
      <c r="C153" s="30">
        <v>1249.95</v>
      </c>
    </row>
    <row r="154" spans="1:3" x14ac:dyDescent="0.3">
      <c r="A154" s="30" t="s">
        <v>112</v>
      </c>
      <c r="B154" s="30" t="s">
        <v>113</v>
      </c>
      <c r="C154" s="30">
        <v>299.98</v>
      </c>
    </row>
    <row r="155" spans="1:3" x14ac:dyDescent="0.3">
      <c r="A155" s="30" t="s">
        <v>29</v>
      </c>
      <c r="B155" s="30" t="s">
        <v>30</v>
      </c>
      <c r="C155" s="30">
        <v>899.97</v>
      </c>
    </row>
    <row r="156" spans="1:3" x14ac:dyDescent="0.3">
      <c r="A156" s="30" t="s">
        <v>55</v>
      </c>
      <c r="B156" s="30" t="s">
        <v>56</v>
      </c>
      <c r="C156" s="30">
        <v>1249.95</v>
      </c>
    </row>
    <row r="157" spans="1:3" x14ac:dyDescent="0.3">
      <c r="A157" s="30" t="s">
        <v>24</v>
      </c>
      <c r="B157" s="30" t="s">
        <v>25</v>
      </c>
      <c r="C157" s="30">
        <v>299.98</v>
      </c>
    </row>
    <row r="158" spans="1:3" x14ac:dyDescent="0.3">
      <c r="A158" s="30" t="s">
        <v>86</v>
      </c>
      <c r="B158" s="30" t="s">
        <v>87</v>
      </c>
      <c r="C158" s="30">
        <v>3499.95</v>
      </c>
    </row>
    <row r="159" spans="1:3" x14ac:dyDescent="0.3">
      <c r="A159" s="30" t="s">
        <v>252</v>
      </c>
      <c r="B159" s="30" t="s">
        <v>253</v>
      </c>
      <c r="C159" s="30">
        <v>999.96</v>
      </c>
    </row>
    <row r="160" spans="1:3" x14ac:dyDescent="0.3">
      <c r="A160" s="30" t="s">
        <v>48</v>
      </c>
      <c r="B160" s="30" t="s">
        <v>49</v>
      </c>
      <c r="C160" s="30">
        <v>2799.96</v>
      </c>
    </row>
    <row r="161" spans="1:3" x14ac:dyDescent="0.3">
      <c r="A161" s="30" t="s">
        <v>108</v>
      </c>
      <c r="B161" s="30" t="s">
        <v>109</v>
      </c>
      <c r="C161" s="30">
        <v>499.98</v>
      </c>
    </row>
    <row r="162" spans="1:3" x14ac:dyDescent="0.3">
      <c r="A162" s="30" t="s">
        <v>304</v>
      </c>
      <c r="B162" s="30" t="s">
        <v>305</v>
      </c>
      <c r="C162" s="30">
        <v>179.97</v>
      </c>
    </row>
    <row r="163" spans="1:3" x14ac:dyDescent="0.3">
      <c r="A163" s="30" t="s">
        <v>141</v>
      </c>
      <c r="B163" s="30" t="s">
        <v>142</v>
      </c>
      <c r="C163" s="30">
        <v>319.95999999999998</v>
      </c>
    </row>
    <row r="164" spans="1:3" x14ac:dyDescent="0.3">
      <c r="A164" s="30" t="s">
        <v>120</v>
      </c>
      <c r="B164" s="30" t="s">
        <v>121</v>
      </c>
      <c r="C164" s="30">
        <v>239.97</v>
      </c>
    </row>
    <row r="165" spans="1:3" x14ac:dyDescent="0.3">
      <c r="A165" s="30" t="s">
        <v>72</v>
      </c>
      <c r="B165" s="30" t="s">
        <v>73</v>
      </c>
      <c r="C165" s="30">
        <v>1799.98</v>
      </c>
    </row>
    <row r="166" spans="1:3" x14ac:dyDescent="0.3">
      <c r="A166" s="30" t="s">
        <v>182</v>
      </c>
      <c r="B166" s="30" t="s">
        <v>183</v>
      </c>
      <c r="C166" s="30">
        <v>149.99</v>
      </c>
    </row>
    <row r="167" spans="1:3" x14ac:dyDescent="0.3">
      <c r="A167" s="30" t="s">
        <v>138</v>
      </c>
      <c r="B167" s="30" t="s">
        <v>139</v>
      </c>
      <c r="C167" s="30">
        <v>599.98</v>
      </c>
    </row>
    <row r="168" spans="1:3" x14ac:dyDescent="0.3">
      <c r="A168" s="30" t="s">
        <v>132</v>
      </c>
      <c r="B168" s="30" t="s">
        <v>133</v>
      </c>
      <c r="C168" s="30">
        <v>119.98</v>
      </c>
    </row>
    <row r="169" spans="1:3" x14ac:dyDescent="0.3">
      <c r="A169" s="30" t="s">
        <v>182</v>
      </c>
      <c r="B169" s="30" t="s">
        <v>183</v>
      </c>
      <c r="C169" s="30">
        <v>89.99</v>
      </c>
    </row>
    <row r="170" spans="1:3" x14ac:dyDescent="0.3">
      <c r="A170" s="30" t="s">
        <v>147</v>
      </c>
      <c r="B170" s="30" t="s">
        <v>148</v>
      </c>
      <c r="C170" s="30">
        <v>4499.95</v>
      </c>
    </row>
    <row r="171" spans="1:3" x14ac:dyDescent="0.3">
      <c r="A171" s="30" t="s">
        <v>42</v>
      </c>
      <c r="B171" s="30" t="s">
        <v>43</v>
      </c>
      <c r="C171" s="30">
        <v>299.98</v>
      </c>
    </row>
    <row r="172" spans="1:3" x14ac:dyDescent="0.3">
      <c r="A172" s="30" t="s">
        <v>112</v>
      </c>
      <c r="B172" s="30" t="s">
        <v>113</v>
      </c>
      <c r="C172" s="30">
        <v>299.98</v>
      </c>
    </row>
    <row r="173" spans="1:3" x14ac:dyDescent="0.3">
      <c r="A173" s="30" t="s">
        <v>182</v>
      </c>
      <c r="B173" s="30" t="s">
        <v>183</v>
      </c>
      <c r="C173" s="30">
        <v>449.97</v>
      </c>
    </row>
    <row r="174" spans="1:3" x14ac:dyDescent="0.3">
      <c r="A174" s="30" t="s">
        <v>29</v>
      </c>
      <c r="B174" s="30" t="s">
        <v>30</v>
      </c>
      <c r="C174" s="30">
        <v>599.98</v>
      </c>
    </row>
    <row r="175" spans="1:3" x14ac:dyDescent="0.3">
      <c r="A175" s="30" t="s">
        <v>42</v>
      </c>
      <c r="B175" s="30" t="s">
        <v>43</v>
      </c>
      <c r="C175" s="30">
        <v>599.98</v>
      </c>
    </row>
    <row r="176" spans="1:3" x14ac:dyDescent="0.3">
      <c r="A176" s="30" t="s">
        <v>120</v>
      </c>
      <c r="B176" s="30" t="s">
        <v>121</v>
      </c>
      <c r="C176" s="30">
        <v>799.96</v>
      </c>
    </row>
    <row r="177" spans="1:3" x14ac:dyDescent="0.3">
      <c r="A177" s="30" t="s">
        <v>59</v>
      </c>
      <c r="B177" s="30" t="s">
        <v>60</v>
      </c>
      <c r="C177" s="30">
        <v>89.99</v>
      </c>
    </row>
    <row r="178" spans="1:3" x14ac:dyDescent="0.3">
      <c r="A178" s="30" t="s">
        <v>108</v>
      </c>
      <c r="B178" s="30" t="s">
        <v>109</v>
      </c>
      <c r="C178" s="30">
        <v>749.95</v>
      </c>
    </row>
    <row r="179" spans="1:3" x14ac:dyDescent="0.3">
      <c r="A179" s="30" t="s">
        <v>86</v>
      </c>
      <c r="B179" s="30" t="s">
        <v>87</v>
      </c>
      <c r="C179" s="30">
        <v>899.99</v>
      </c>
    </row>
    <row r="180" spans="1:3" x14ac:dyDescent="0.3">
      <c r="A180" s="30" t="s">
        <v>147</v>
      </c>
      <c r="B180" s="30" t="s">
        <v>148</v>
      </c>
      <c r="C180" s="30">
        <v>179.98</v>
      </c>
    </row>
    <row r="181" spans="1:3" x14ac:dyDescent="0.3">
      <c r="A181" s="30" t="s">
        <v>325</v>
      </c>
      <c r="B181" s="30" t="s">
        <v>326</v>
      </c>
      <c r="C181" s="30">
        <v>899.99</v>
      </c>
    </row>
    <row r="182" spans="1:3" x14ac:dyDescent="0.3">
      <c r="A182" s="30" t="s">
        <v>129</v>
      </c>
      <c r="B182" s="30" t="s">
        <v>130</v>
      </c>
      <c r="C182" s="30">
        <v>749.95</v>
      </c>
    </row>
    <row r="183" spans="1:3" x14ac:dyDescent="0.3">
      <c r="A183" s="30" t="s">
        <v>42</v>
      </c>
      <c r="B183" s="30" t="s">
        <v>43</v>
      </c>
      <c r="C183" s="30">
        <v>899.97</v>
      </c>
    </row>
    <row r="184" spans="1:3" x14ac:dyDescent="0.3">
      <c r="A184" s="30" t="s">
        <v>65</v>
      </c>
      <c r="B184" s="30" t="s">
        <v>66</v>
      </c>
      <c r="C184" s="30">
        <v>2099.9699999999998</v>
      </c>
    </row>
    <row r="185" spans="1:3" x14ac:dyDescent="0.3">
      <c r="A185" s="30" t="s">
        <v>108</v>
      </c>
      <c r="B185" s="30" t="s">
        <v>109</v>
      </c>
      <c r="C185" s="30">
        <v>999.95</v>
      </c>
    </row>
    <row r="186" spans="1:3" x14ac:dyDescent="0.3">
      <c r="A186" s="30" t="s">
        <v>93</v>
      </c>
      <c r="B186" s="30" t="s">
        <v>94</v>
      </c>
      <c r="C186" s="30">
        <v>1249.95</v>
      </c>
    </row>
    <row r="187" spans="1:3" x14ac:dyDescent="0.3">
      <c r="A187" s="30" t="s">
        <v>138</v>
      </c>
      <c r="B187" s="30" t="s">
        <v>139</v>
      </c>
      <c r="C187" s="30">
        <v>599.96</v>
      </c>
    </row>
    <row r="188" spans="1:3" x14ac:dyDescent="0.3">
      <c r="A188" s="30" t="s">
        <v>78</v>
      </c>
      <c r="B188" s="30" t="s">
        <v>79</v>
      </c>
      <c r="C188" s="30">
        <v>2099.9699999999998</v>
      </c>
    </row>
    <row r="189" spans="1:3" x14ac:dyDescent="0.3">
      <c r="A189" s="30" t="s">
        <v>293</v>
      </c>
      <c r="B189" s="30" t="s">
        <v>294</v>
      </c>
      <c r="C189" s="30">
        <v>79.989999999999995</v>
      </c>
    </row>
    <row r="190" spans="1:3" x14ac:dyDescent="0.3">
      <c r="A190" s="30" t="s">
        <v>86</v>
      </c>
      <c r="B190" s="30" t="s">
        <v>87</v>
      </c>
      <c r="C190" s="30">
        <v>299.99</v>
      </c>
    </row>
    <row r="191" spans="1:3" x14ac:dyDescent="0.3">
      <c r="A191" s="30" t="s">
        <v>158</v>
      </c>
      <c r="B191" s="30" t="s">
        <v>159</v>
      </c>
      <c r="C191" s="30">
        <v>999.96</v>
      </c>
    </row>
    <row r="192" spans="1:3" x14ac:dyDescent="0.3">
      <c r="A192" s="30" t="s">
        <v>120</v>
      </c>
      <c r="B192" s="30" t="s">
        <v>121</v>
      </c>
      <c r="C192" s="30">
        <v>299.98</v>
      </c>
    </row>
    <row r="193" spans="1:3" x14ac:dyDescent="0.3">
      <c r="A193" s="30" t="s">
        <v>234</v>
      </c>
      <c r="B193" s="30" t="s">
        <v>235</v>
      </c>
      <c r="C193" s="30">
        <v>899.97</v>
      </c>
    </row>
    <row r="194" spans="1:3" x14ac:dyDescent="0.3">
      <c r="A194" s="30" t="s">
        <v>226</v>
      </c>
      <c r="B194" s="30" t="s">
        <v>227</v>
      </c>
      <c r="C194" s="30">
        <v>799.96</v>
      </c>
    </row>
    <row r="195" spans="1:3" x14ac:dyDescent="0.3">
      <c r="A195" s="30" t="s">
        <v>211</v>
      </c>
      <c r="B195" s="30" t="s">
        <v>212</v>
      </c>
      <c r="C195" s="30">
        <v>1499.95</v>
      </c>
    </row>
    <row r="196" spans="1:3" x14ac:dyDescent="0.3">
      <c r="A196" s="30" t="s">
        <v>59</v>
      </c>
      <c r="B196" s="30" t="s">
        <v>60</v>
      </c>
      <c r="C196" s="30">
        <v>449.97</v>
      </c>
    </row>
    <row r="197" spans="1:3" x14ac:dyDescent="0.3">
      <c r="A197" s="30" t="s">
        <v>129</v>
      </c>
      <c r="B197" s="30" t="s">
        <v>130</v>
      </c>
      <c r="C197" s="30">
        <v>299.95</v>
      </c>
    </row>
    <row r="198" spans="1:3" x14ac:dyDescent="0.3">
      <c r="A198" s="30" t="s">
        <v>68</v>
      </c>
      <c r="B198" s="30" t="s">
        <v>69</v>
      </c>
      <c r="C198" s="30">
        <v>239.96</v>
      </c>
    </row>
    <row r="199" spans="1:3" x14ac:dyDescent="0.3">
      <c r="A199" s="30" t="s">
        <v>48</v>
      </c>
      <c r="B199" s="30" t="s">
        <v>49</v>
      </c>
      <c r="C199" s="30">
        <v>999.96</v>
      </c>
    </row>
    <row r="200" spans="1:3" x14ac:dyDescent="0.3">
      <c r="A200" s="30" t="s">
        <v>252</v>
      </c>
      <c r="B200" s="30" t="s">
        <v>253</v>
      </c>
      <c r="C200" s="30">
        <v>3599.96</v>
      </c>
    </row>
    <row r="201" spans="1:3" x14ac:dyDescent="0.3">
      <c r="A201" s="30" t="s">
        <v>86</v>
      </c>
      <c r="B201" s="30" t="s">
        <v>87</v>
      </c>
      <c r="C201" s="30">
        <v>899.97</v>
      </c>
    </row>
    <row r="202" spans="1:3" x14ac:dyDescent="0.3">
      <c r="A202" s="30" t="s">
        <v>293</v>
      </c>
      <c r="B202" s="30" t="s">
        <v>294</v>
      </c>
      <c r="C202" s="30">
        <v>1399.98</v>
      </c>
    </row>
    <row r="203" spans="1:3" x14ac:dyDescent="0.3">
      <c r="A203" s="30" t="s">
        <v>65</v>
      </c>
      <c r="B203" s="30" t="s">
        <v>66</v>
      </c>
      <c r="C203" s="30">
        <v>2799.96</v>
      </c>
    </row>
    <row r="204" spans="1:3" x14ac:dyDescent="0.3">
      <c r="A204" s="30" t="s">
        <v>123</v>
      </c>
      <c r="B204" s="30" t="s">
        <v>124</v>
      </c>
      <c r="C204" s="30">
        <v>179.98</v>
      </c>
    </row>
    <row r="205" spans="1:3" x14ac:dyDescent="0.3">
      <c r="A205" s="30" t="s">
        <v>42</v>
      </c>
      <c r="B205" s="30" t="s">
        <v>43</v>
      </c>
      <c r="C205" s="30">
        <v>269.97000000000003</v>
      </c>
    </row>
    <row r="206" spans="1:3" x14ac:dyDescent="0.3">
      <c r="A206" s="30" t="s">
        <v>325</v>
      </c>
      <c r="B206" s="30" t="s">
        <v>326</v>
      </c>
      <c r="C206" s="30">
        <v>59.99</v>
      </c>
    </row>
    <row r="207" spans="1:3" x14ac:dyDescent="0.3">
      <c r="A207" s="30" t="s">
        <v>246</v>
      </c>
      <c r="B207" s="30" t="s">
        <v>247</v>
      </c>
      <c r="C207" s="30">
        <v>449.97</v>
      </c>
    </row>
    <row r="208" spans="1:3" x14ac:dyDescent="0.3">
      <c r="A208" s="30" t="s">
        <v>93</v>
      </c>
      <c r="B208" s="30" t="s">
        <v>94</v>
      </c>
      <c r="C208" s="30">
        <v>1499.95</v>
      </c>
    </row>
    <row r="209" spans="1:3" x14ac:dyDescent="0.3">
      <c r="A209" s="30" t="s">
        <v>150</v>
      </c>
      <c r="B209" s="30" t="s">
        <v>151</v>
      </c>
      <c r="C209" s="30">
        <v>299.95</v>
      </c>
    </row>
    <row r="210" spans="1:3" x14ac:dyDescent="0.3">
      <c r="A210" s="30" t="s">
        <v>108</v>
      </c>
      <c r="B210" s="30" t="s">
        <v>109</v>
      </c>
      <c r="C210" s="30">
        <v>239.97</v>
      </c>
    </row>
    <row r="211" spans="1:3" x14ac:dyDescent="0.3">
      <c r="A211" s="30" t="s">
        <v>29</v>
      </c>
      <c r="B211" s="30" t="s">
        <v>30</v>
      </c>
      <c r="C211" s="30">
        <v>599.97</v>
      </c>
    </row>
    <row r="212" spans="1:3" x14ac:dyDescent="0.3">
      <c r="A212" s="30" t="s">
        <v>15</v>
      </c>
      <c r="B212" s="30" t="s">
        <v>16</v>
      </c>
      <c r="C212" s="30">
        <v>179.98</v>
      </c>
    </row>
    <row r="213" spans="1:3" x14ac:dyDescent="0.3">
      <c r="A213" s="30" t="s">
        <v>259</v>
      </c>
      <c r="B213" s="30" t="s">
        <v>260</v>
      </c>
      <c r="C213" s="30">
        <v>299.98</v>
      </c>
    </row>
    <row r="214" spans="1:3" x14ac:dyDescent="0.3">
      <c r="A214" s="30" t="s">
        <v>123</v>
      </c>
      <c r="B214" s="30" t="s">
        <v>124</v>
      </c>
      <c r="C214" s="30">
        <v>3499.95</v>
      </c>
    </row>
    <row r="215" spans="1:3" x14ac:dyDescent="0.3">
      <c r="A215" s="30" t="s">
        <v>42</v>
      </c>
      <c r="B215" s="30" t="s">
        <v>43</v>
      </c>
      <c r="C215" s="30">
        <v>449.97</v>
      </c>
    </row>
    <row r="216" spans="1:3" x14ac:dyDescent="0.3">
      <c r="A216" s="30" t="s">
        <v>96</v>
      </c>
      <c r="B216" s="30" t="s">
        <v>97</v>
      </c>
      <c r="C216" s="30">
        <v>2699.97</v>
      </c>
    </row>
    <row r="217" spans="1:3" x14ac:dyDescent="0.3">
      <c r="A217" s="30" t="s">
        <v>192</v>
      </c>
      <c r="B217" s="30" t="s">
        <v>193</v>
      </c>
      <c r="C217" s="30">
        <v>599.97</v>
      </c>
    </row>
    <row r="218" spans="1:3" x14ac:dyDescent="0.3">
      <c r="A218" s="30" t="s">
        <v>55</v>
      </c>
      <c r="B218" s="30" t="s">
        <v>56</v>
      </c>
      <c r="C218" s="30">
        <v>1499.95</v>
      </c>
    </row>
    <row r="219" spans="1:3" x14ac:dyDescent="0.3">
      <c r="A219" s="30" t="s">
        <v>150</v>
      </c>
      <c r="B219" s="30" t="s">
        <v>151</v>
      </c>
      <c r="C219" s="30">
        <v>699.99</v>
      </c>
    </row>
    <row r="220" spans="1:3" x14ac:dyDescent="0.3">
      <c r="A220" s="30" t="s">
        <v>246</v>
      </c>
      <c r="B220" s="30" t="s">
        <v>247</v>
      </c>
      <c r="C220" s="30">
        <v>699.99</v>
      </c>
    </row>
    <row r="221" spans="1:3" x14ac:dyDescent="0.3">
      <c r="A221" s="30" t="s">
        <v>325</v>
      </c>
      <c r="B221" s="30" t="s">
        <v>326</v>
      </c>
      <c r="C221" s="30">
        <v>599.96</v>
      </c>
    </row>
    <row r="222" spans="1:3" x14ac:dyDescent="0.3">
      <c r="A222" s="30" t="s">
        <v>211</v>
      </c>
      <c r="B222" s="30" t="s">
        <v>212</v>
      </c>
      <c r="C222" s="30">
        <v>449.95</v>
      </c>
    </row>
    <row r="223" spans="1:3" x14ac:dyDescent="0.3">
      <c r="A223" s="30" t="s">
        <v>138</v>
      </c>
      <c r="B223" s="30" t="s">
        <v>139</v>
      </c>
      <c r="C223" s="30">
        <v>399.98</v>
      </c>
    </row>
    <row r="224" spans="1:3" x14ac:dyDescent="0.3">
      <c r="A224" s="30" t="s">
        <v>259</v>
      </c>
      <c r="B224" s="30" t="s">
        <v>260</v>
      </c>
      <c r="C224" s="30">
        <v>239.96</v>
      </c>
    </row>
    <row r="225" spans="1:3" x14ac:dyDescent="0.3">
      <c r="A225" s="30" t="s">
        <v>93</v>
      </c>
      <c r="B225" s="30" t="s">
        <v>94</v>
      </c>
      <c r="C225" s="30">
        <v>599.98</v>
      </c>
    </row>
    <row r="226" spans="1:3" x14ac:dyDescent="0.3">
      <c r="A226" s="30" t="s">
        <v>55</v>
      </c>
      <c r="B226" s="30" t="s">
        <v>56</v>
      </c>
      <c r="C226" s="30">
        <v>299.98</v>
      </c>
    </row>
    <row r="227" spans="1:3" x14ac:dyDescent="0.3">
      <c r="A227" s="30" t="s">
        <v>226</v>
      </c>
      <c r="B227" s="30" t="s">
        <v>227</v>
      </c>
      <c r="C227" s="30">
        <v>3499.95</v>
      </c>
    </row>
    <row r="228" spans="1:3" x14ac:dyDescent="0.3">
      <c r="A228" s="30" t="s">
        <v>75</v>
      </c>
      <c r="B228" s="30" t="s">
        <v>76</v>
      </c>
      <c r="C228" s="30">
        <v>299.95</v>
      </c>
    </row>
    <row r="229" spans="1:3" x14ac:dyDescent="0.3">
      <c r="A229" s="30" t="s">
        <v>15</v>
      </c>
      <c r="B229" s="30" t="s">
        <v>16</v>
      </c>
      <c r="C229" s="30">
        <v>179.98</v>
      </c>
    </row>
    <row r="230" spans="1:3" x14ac:dyDescent="0.3">
      <c r="A230" s="30" t="s">
        <v>120</v>
      </c>
      <c r="B230" s="30" t="s">
        <v>121</v>
      </c>
      <c r="C230" s="30">
        <v>1249.95</v>
      </c>
    </row>
    <row r="231" spans="1:3" x14ac:dyDescent="0.3">
      <c r="A231" s="30" t="s">
        <v>226</v>
      </c>
      <c r="B231" s="30" t="s">
        <v>227</v>
      </c>
      <c r="C231" s="30">
        <v>299.98</v>
      </c>
    </row>
    <row r="232" spans="1:3" x14ac:dyDescent="0.3">
      <c r="A232" s="30" t="s">
        <v>144</v>
      </c>
      <c r="B232" s="30" t="s">
        <v>145</v>
      </c>
      <c r="C232" s="30">
        <v>4499.95</v>
      </c>
    </row>
    <row r="233" spans="1:3" x14ac:dyDescent="0.3">
      <c r="A233" s="30" t="s">
        <v>55</v>
      </c>
      <c r="B233" s="30" t="s">
        <v>56</v>
      </c>
      <c r="C233" s="30">
        <v>599.96</v>
      </c>
    </row>
    <row r="234" spans="1:3" x14ac:dyDescent="0.3">
      <c r="A234" s="30" t="s">
        <v>144</v>
      </c>
      <c r="B234" s="30" t="s">
        <v>145</v>
      </c>
      <c r="C234" s="30">
        <v>249.99</v>
      </c>
    </row>
    <row r="235" spans="1:3" x14ac:dyDescent="0.3">
      <c r="A235" s="30" t="s">
        <v>192</v>
      </c>
      <c r="B235" s="30" t="s">
        <v>193</v>
      </c>
      <c r="C235" s="30">
        <v>119.98</v>
      </c>
    </row>
    <row r="236" spans="1:3" x14ac:dyDescent="0.3">
      <c r="A236" s="30" t="s">
        <v>132</v>
      </c>
      <c r="B236" s="30" t="s">
        <v>133</v>
      </c>
      <c r="C236" s="30">
        <v>299.98</v>
      </c>
    </row>
    <row r="237" spans="1:3" x14ac:dyDescent="0.3">
      <c r="A237" s="30" t="s">
        <v>150</v>
      </c>
      <c r="B237" s="30" t="s">
        <v>151</v>
      </c>
      <c r="C237" s="30">
        <v>2699.97</v>
      </c>
    </row>
    <row r="238" spans="1:3" x14ac:dyDescent="0.3">
      <c r="A238" s="30" t="s">
        <v>48</v>
      </c>
      <c r="B238" s="30" t="s">
        <v>49</v>
      </c>
      <c r="C238" s="30">
        <v>2699.97</v>
      </c>
    </row>
    <row r="239" spans="1:3" x14ac:dyDescent="0.3">
      <c r="A239" s="30" t="s">
        <v>15</v>
      </c>
      <c r="B239" s="30" t="s">
        <v>16</v>
      </c>
      <c r="C239" s="30">
        <v>899.97</v>
      </c>
    </row>
    <row r="240" spans="1:3" x14ac:dyDescent="0.3">
      <c r="A240" s="30" t="s">
        <v>386</v>
      </c>
      <c r="B240" s="30" t="s">
        <v>387</v>
      </c>
      <c r="C240" s="30">
        <v>599.96</v>
      </c>
    </row>
    <row r="241" spans="1:3" x14ac:dyDescent="0.3">
      <c r="A241" s="30" t="s">
        <v>102</v>
      </c>
      <c r="B241" s="30" t="s">
        <v>103</v>
      </c>
      <c r="C241" s="30">
        <v>319.95999999999998</v>
      </c>
    </row>
    <row r="242" spans="1:3" x14ac:dyDescent="0.3">
      <c r="A242" s="30" t="s">
        <v>185</v>
      </c>
      <c r="B242" s="30" t="s">
        <v>186</v>
      </c>
      <c r="C242" s="30">
        <v>449.95</v>
      </c>
    </row>
    <row r="243" spans="1:3" x14ac:dyDescent="0.3">
      <c r="A243" s="30" t="s">
        <v>93</v>
      </c>
      <c r="B243" s="30" t="s">
        <v>94</v>
      </c>
      <c r="C243" s="30">
        <v>449.97</v>
      </c>
    </row>
    <row r="244" spans="1:3" x14ac:dyDescent="0.3">
      <c r="A244" s="30" t="s">
        <v>65</v>
      </c>
      <c r="B244" s="30" t="s">
        <v>66</v>
      </c>
      <c r="C244" s="30">
        <v>179.98</v>
      </c>
    </row>
    <row r="245" spans="1:3" x14ac:dyDescent="0.3">
      <c r="A245" s="30" t="s">
        <v>102</v>
      </c>
      <c r="B245" s="30" t="s">
        <v>103</v>
      </c>
      <c r="C245" s="30">
        <v>1399.98</v>
      </c>
    </row>
    <row r="246" spans="1:3" x14ac:dyDescent="0.3">
      <c r="A246" s="30" t="s">
        <v>123</v>
      </c>
      <c r="B246" s="30" t="s">
        <v>124</v>
      </c>
      <c r="C246" s="30">
        <v>2699.97</v>
      </c>
    </row>
    <row r="247" spans="1:3" x14ac:dyDescent="0.3">
      <c r="A247" s="30" t="s">
        <v>93</v>
      </c>
      <c r="B247" s="30" t="s">
        <v>94</v>
      </c>
      <c r="C247" s="30">
        <v>239.97</v>
      </c>
    </row>
    <row r="248" spans="1:3" x14ac:dyDescent="0.3">
      <c r="A248" s="30" t="s">
        <v>59</v>
      </c>
      <c r="B248" s="30" t="s">
        <v>60</v>
      </c>
      <c r="C248" s="30">
        <v>89.99</v>
      </c>
    </row>
    <row r="249" spans="1:3" x14ac:dyDescent="0.3">
      <c r="A249" s="30" t="s">
        <v>293</v>
      </c>
      <c r="B249" s="30" t="s">
        <v>294</v>
      </c>
      <c r="C249" s="30">
        <v>2099.9699999999998</v>
      </c>
    </row>
    <row r="250" spans="1:3" x14ac:dyDescent="0.3">
      <c r="A250" s="30" t="s">
        <v>226</v>
      </c>
      <c r="B250" s="30" t="s">
        <v>227</v>
      </c>
      <c r="C250" s="30">
        <v>179.98</v>
      </c>
    </row>
    <row r="251" spans="1:3" x14ac:dyDescent="0.3">
      <c r="A251" s="30" t="s">
        <v>138</v>
      </c>
      <c r="B251" s="30" t="s">
        <v>139</v>
      </c>
      <c r="C251" s="30">
        <v>269.97000000000003</v>
      </c>
    </row>
  </sheetData>
  <conditionalFormatting sqref="A1:C1048576">
    <cfRule type="iconSet" priority="1">
      <iconSet iconSet="3Arrows">
        <cfvo type="percent" val="0"/>
        <cfvo type="num" val="500" gte="0"/>
        <cfvo type="num" val="1000"/>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D003-8E2C-4BFE-990B-A35EAFE1E3DD}">
  <dimension ref="A1:J22"/>
  <sheetViews>
    <sheetView workbookViewId="0">
      <selection sqref="A1:C1048576"/>
    </sheetView>
  </sheetViews>
  <sheetFormatPr defaultRowHeight="14.4" x14ac:dyDescent="0.3"/>
  <cols>
    <col min="2" max="2" width="10" bestFit="1" customWidth="1"/>
    <col min="3" max="3" width="13.33203125" bestFit="1" customWidth="1"/>
    <col min="6" max="6" width="24.5546875" bestFit="1" customWidth="1"/>
    <col min="8" max="8" width="10.5546875" bestFit="1" customWidth="1"/>
    <col min="9" max="9" width="11.44140625" bestFit="1" customWidth="1"/>
    <col min="10" max="10" width="10.44140625" bestFit="1" customWidth="1"/>
  </cols>
  <sheetData>
    <row r="1" spans="1:10" x14ac:dyDescent="0.3">
      <c r="A1" s="27" t="s">
        <v>7</v>
      </c>
      <c r="B1" s="27" t="s">
        <v>8</v>
      </c>
      <c r="C1" s="27" t="s">
        <v>13</v>
      </c>
      <c r="F1" s="37" t="s">
        <v>409</v>
      </c>
    </row>
    <row r="2" spans="1:10" x14ac:dyDescent="0.3">
      <c r="A2" s="32">
        <v>3</v>
      </c>
      <c r="B2" s="32">
        <v>249.99</v>
      </c>
      <c r="C2" s="32">
        <v>749.97</v>
      </c>
    </row>
    <row r="3" spans="1:10" x14ac:dyDescent="0.3">
      <c r="A3" s="33">
        <v>3</v>
      </c>
      <c r="B3" s="33">
        <v>249.99</v>
      </c>
      <c r="C3" s="33">
        <v>749.97</v>
      </c>
    </row>
    <row r="4" spans="1:10" x14ac:dyDescent="0.3">
      <c r="A4" s="32">
        <v>3</v>
      </c>
      <c r="B4" s="32">
        <v>59.99</v>
      </c>
      <c r="C4" s="32">
        <v>179.97</v>
      </c>
      <c r="F4" s="25" t="s">
        <v>410</v>
      </c>
      <c r="G4" s="34" t="s">
        <v>405</v>
      </c>
      <c r="H4" s="34" t="s">
        <v>404</v>
      </c>
      <c r="I4" s="34" t="s">
        <v>407</v>
      </c>
      <c r="J4" s="34" t="s">
        <v>408</v>
      </c>
    </row>
    <row r="5" spans="1:10" x14ac:dyDescent="0.3">
      <c r="A5" s="33">
        <v>3</v>
      </c>
      <c r="B5" s="33">
        <v>59.99</v>
      </c>
      <c r="C5" s="33">
        <v>179.97</v>
      </c>
      <c r="G5" s="34" t="s">
        <v>406</v>
      </c>
      <c r="H5" s="36">
        <v>66.666666666666671</v>
      </c>
      <c r="I5" s="35">
        <v>15000</v>
      </c>
      <c r="J5" s="35">
        <f>H5*I5</f>
        <v>1000000.0000000001</v>
      </c>
    </row>
    <row r="6" spans="1:10" x14ac:dyDescent="0.3">
      <c r="A6" s="32">
        <v>5</v>
      </c>
      <c r="B6" s="32">
        <v>149.99</v>
      </c>
      <c r="C6" s="32">
        <v>749.95</v>
      </c>
    </row>
    <row r="7" spans="1:10" x14ac:dyDescent="0.3">
      <c r="A7" s="33">
        <v>2</v>
      </c>
      <c r="B7" s="33">
        <v>59.99</v>
      </c>
      <c r="C7" s="33">
        <v>119.98</v>
      </c>
      <c r="F7" s="25" t="s">
        <v>411</v>
      </c>
      <c r="G7" s="34" t="s">
        <v>405</v>
      </c>
      <c r="H7" s="34" t="s">
        <v>404</v>
      </c>
      <c r="I7" s="34" t="s">
        <v>407</v>
      </c>
      <c r="J7" s="34" t="s">
        <v>408</v>
      </c>
    </row>
    <row r="8" spans="1:10" x14ac:dyDescent="0.3">
      <c r="A8" s="32">
        <v>5</v>
      </c>
      <c r="B8" s="32">
        <v>149.99</v>
      </c>
      <c r="C8" s="32">
        <v>749.95</v>
      </c>
      <c r="G8" s="34" t="s">
        <v>406</v>
      </c>
      <c r="H8" s="36">
        <v>133.33333333333334</v>
      </c>
      <c r="I8" s="35">
        <v>15000</v>
      </c>
      <c r="J8" s="35">
        <f>H8*I8</f>
        <v>2000000.0000000002</v>
      </c>
    </row>
    <row r="9" spans="1:10" x14ac:dyDescent="0.3">
      <c r="A9" s="33">
        <v>3</v>
      </c>
      <c r="B9" s="33">
        <v>59.99</v>
      </c>
      <c r="C9" s="33">
        <v>179.97</v>
      </c>
    </row>
    <row r="10" spans="1:10" x14ac:dyDescent="0.3">
      <c r="A10" s="32">
        <v>3</v>
      </c>
      <c r="B10" s="32">
        <v>899.99</v>
      </c>
      <c r="C10" s="32">
        <v>2699.97</v>
      </c>
    </row>
    <row r="11" spans="1:10" x14ac:dyDescent="0.3">
      <c r="A11" s="33">
        <v>3</v>
      </c>
      <c r="B11" s="33">
        <v>59.99</v>
      </c>
      <c r="C11" s="33">
        <v>179.97</v>
      </c>
    </row>
    <row r="12" spans="1:10" x14ac:dyDescent="0.3">
      <c r="A12" s="32">
        <v>1</v>
      </c>
      <c r="B12" s="32">
        <v>149.99</v>
      </c>
      <c r="C12" s="32">
        <v>149.99</v>
      </c>
    </row>
    <row r="13" spans="1:10" x14ac:dyDescent="0.3">
      <c r="A13" s="33">
        <v>5</v>
      </c>
      <c r="B13" s="33">
        <v>149.99</v>
      </c>
      <c r="C13" s="33">
        <v>749.95</v>
      </c>
    </row>
    <row r="14" spans="1:10" x14ac:dyDescent="0.3">
      <c r="A14" s="32">
        <v>3</v>
      </c>
      <c r="B14" s="32">
        <v>149.99</v>
      </c>
      <c r="C14" s="32">
        <v>449.97</v>
      </c>
    </row>
    <row r="15" spans="1:10" x14ac:dyDescent="0.3">
      <c r="A15" s="33">
        <v>3</v>
      </c>
      <c r="B15" s="33">
        <v>59.99</v>
      </c>
      <c r="C15" s="33">
        <v>179.97</v>
      </c>
    </row>
    <row r="16" spans="1:10" x14ac:dyDescent="0.3">
      <c r="A16" s="32">
        <v>3</v>
      </c>
      <c r="B16" s="32">
        <v>699.99</v>
      </c>
      <c r="C16" s="32">
        <v>2099.9699999999998</v>
      </c>
    </row>
    <row r="17" spans="1:3" x14ac:dyDescent="0.3">
      <c r="A17" s="33">
        <v>1</v>
      </c>
      <c r="B17" s="33">
        <v>899.99</v>
      </c>
      <c r="C17" s="33">
        <v>899.99</v>
      </c>
    </row>
    <row r="18" spans="1:3" x14ac:dyDescent="0.3">
      <c r="A18" s="32">
        <v>4</v>
      </c>
      <c r="B18" s="32">
        <v>149.99</v>
      </c>
      <c r="C18" s="32">
        <v>599.96</v>
      </c>
    </row>
    <row r="19" spans="1:3" x14ac:dyDescent="0.3">
      <c r="A19" s="33">
        <v>2</v>
      </c>
      <c r="B19" s="33">
        <v>699.99</v>
      </c>
      <c r="C19" s="33">
        <v>1399.98</v>
      </c>
    </row>
    <row r="20" spans="1:3" x14ac:dyDescent="0.3">
      <c r="A20" s="32">
        <v>4</v>
      </c>
      <c r="B20" s="32">
        <v>899.99</v>
      </c>
      <c r="C20" s="32">
        <v>3599.96</v>
      </c>
    </row>
    <row r="21" spans="1:3" x14ac:dyDescent="0.3">
      <c r="A21" s="33">
        <v>3</v>
      </c>
      <c r="B21" s="33">
        <v>249.99</v>
      </c>
      <c r="C21" s="33">
        <v>749.97</v>
      </c>
    </row>
    <row r="22" spans="1:3" x14ac:dyDescent="0.3">
      <c r="A22" s="32">
        <v>5</v>
      </c>
      <c r="B22" s="32">
        <v>699.99</v>
      </c>
      <c r="C22" s="32">
        <v>3499.95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0886-FDAF-44CE-BE48-5D5CFB836FCF}">
  <dimension ref="A1:R22"/>
  <sheetViews>
    <sheetView workbookViewId="0">
      <selection activeCell="P22" sqref="P22"/>
    </sheetView>
  </sheetViews>
  <sheetFormatPr defaultRowHeight="14.4" x14ac:dyDescent="0.3"/>
  <cols>
    <col min="2" max="2" width="10" bestFit="1" customWidth="1"/>
    <col min="3" max="3" width="13.33203125" bestFit="1" customWidth="1"/>
    <col min="10" max="10" width="17.6640625" bestFit="1" customWidth="1"/>
    <col min="11" max="11" width="12.6640625" bestFit="1" customWidth="1"/>
    <col min="12" max="12" width="18.6640625" customWidth="1"/>
    <col min="13" max="13" width="12.6640625" bestFit="1" customWidth="1"/>
    <col min="14" max="14" width="12" bestFit="1" customWidth="1"/>
    <col min="15" max="15" width="13" bestFit="1" customWidth="1"/>
    <col min="16" max="16" width="12.88671875" customWidth="1"/>
    <col min="17" max="17" width="12.6640625" bestFit="1" customWidth="1"/>
    <col min="18" max="18" width="12.21875" bestFit="1" customWidth="1"/>
  </cols>
  <sheetData>
    <row r="1" spans="1:18" x14ac:dyDescent="0.3">
      <c r="A1" s="27" t="s">
        <v>7</v>
      </c>
      <c r="B1" s="27" t="s">
        <v>8</v>
      </c>
      <c r="C1" s="27" t="s">
        <v>13</v>
      </c>
    </row>
    <row r="2" spans="1:18" x14ac:dyDescent="0.3">
      <c r="A2" s="32">
        <v>3</v>
      </c>
      <c r="B2" s="32">
        <v>249.99</v>
      </c>
      <c r="C2" s="32">
        <v>749.97</v>
      </c>
      <c r="J2" s="28" t="s">
        <v>436</v>
      </c>
    </row>
    <row r="3" spans="1:18" x14ac:dyDescent="0.3">
      <c r="A3" s="33">
        <v>3</v>
      </c>
      <c r="B3" s="33">
        <v>249.99</v>
      </c>
      <c r="C3" s="33">
        <v>749.97</v>
      </c>
    </row>
    <row r="4" spans="1:18" x14ac:dyDescent="0.3">
      <c r="A4" s="32">
        <v>3</v>
      </c>
      <c r="B4" s="32">
        <v>59.99</v>
      </c>
      <c r="C4" s="32">
        <v>179.97</v>
      </c>
      <c r="J4" s="38" t="s">
        <v>413</v>
      </c>
      <c r="K4" s="38"/>
    </row>
    <row r="5" spans="1:18" x14ac:dyDescent="0.3">
      <c r="A5" s="33">
        <v>3</v>
      </c>
      <c r="B5" s="33">
        <v>59.99</v>
      </c>
      <c r="C5" s="33">
        <v>179.97</v>
      </c>
      <c r="J5" s="39" t="s">
        <v>414</v>
      </c>
      <c r="K5" s="39">
        <v>0.10839359704683213</v>
      </c>
    </row>
    <row r="6" spans="1:18" x14ac:dyDescent="0.3">
      <c r="A6" s="32">
        <v>5</v>
      </c>
      <c r="B6" s="32">
        <v>149.99</v>
      </c>
      <c r="C6" s="32">
        <v>749.95</v>
      </c>
      <c r="J6" s="39" t="s">
        <v>415</v>
      </c>
      <c r="K6" s="39">
        <v>1.1749171880751016E-2</v>
      </c>
    </row>
    <row r="7" spans="1:18" x14ac:dyDescent="0.3">
      <c r="A7" s="33">
        <v>2</v>
      </c>
      <c r="B7" s="33">
        <v>59.99</v>
      </c>
      <c r="C7" s="33">
        <v>119.98</v>
      </c>
      <c r="G7" s="2"/>
      <c r="J7" s="39" t="s">
        <v>416</v>
      </c>
      <c r="K7" s="39">
        <v>-4.0264029599209453E-2</v>
      </c>
    </row>
    <row r="8" spans="1:18" x14ac:dyDescent="0.3">
      <c r="A8" s="32">
        <v>5</v>
      </c>
      <c r="B8" s="32">
        <v>149.99</v>
      </c>
      <c r="C8" s="32">
        <v>749.95</v>
      </c>
      <c r="J8" s="39" t="s">
        <v>412</v>
      </c>
      <c r="K8" s="39">
        <v>325.39824415397658</v>
      </c>
    </row>
    <row r="9" spans="1:18" x14ac:dyDescent="0.3">
      <c r="A9" s="33">
        <v>3</v>
      </c>
      <c r="B9" s="33">
        <v>59.99</v>
      </c>
      <c r="C9" s="33">
        <v>179.97</v>
      </c>
      <c r="J9" s="39" t="s">
        <v>417</v>
      </c>
      <c r="K9" s="39">
        <v>21</v>
      </c>
    </row>
    <row r="10" spans="1:18" x14ac:dyDescent="0.3">
      <c r="A10" s="32">
        <v>3</v>
      </c>
      <c r="B10" s="32">
        <v>899.99</v>
      </c>
      <c r="C10" s="32">
        <v>2699.97</v>
      </c>
      <c r="J10" s="26"/>
      <c r="K10" s="26"/>
    </row>
    <row r="11" spans="1:18" x14ac:dyDescent="0.3">
      <c r="A11" s="33">
        <v>3</v>
      </c>
      <c r="B11" s="33">
        <v>59.99</v>
      </c>
      <c r="C11" s="33">
        <v>179.97</v>
      </c>
      <c r="J11" s="26" t="s">
        <v>418</v>
      </c>
      <c r="K11" s="26"/>
    </row>
    <row r="12" spans="1:18" x14ac:dyDescent="0.3">
      <c r="A12" s="32">
        <v>1</v>
      </c>
      <c r="B12" s="32">
        <v>149.99</v>
      </c>
      <c r="C12" s="32">
        <v>149.99</v>
      </c>
      <c r="J12" s="40"/>
      <c r="K12" s="40" t="s">
        <v>423</v>
      </c>
      <c r="L12" s="40" t="s">
        <v>424</v>
      </c>
      <c r="M12" s="40" t="s">
        <v>425</v>
      </c>
      <c r="N12" s="40" t="s">
        <v>426</v>
      </c>
      <c r="O12" s="40" t="s">
        <v>427</v>
      </c>
      <c r="P12" s="26"/>
      <c r="Q12" s="26"/>
      <c r="R12" s="26"/>
    </row>
    <row r="13" spans="1:18" x14ac:dyDescent="0.3">
      <c r="A13" s="33">
        <v>5</v>
      </c>
      <c r="B13" s="33">
        <v>149.99</v>
      </c>
      <c r="C13" s="33">
        <v>749.95</v>
      </c>
      <c r="J13" s="39" t="s">
        <v>419</v>
      </c>
      <c r="K13" s="39">
        <v>1</v>
      </c>
      <c r="L13" s="39">
        <v>23917.957042957423</v>
      </c>
      <c r="M13" s="39">
        <v>23917.957042957423</v>
      </c>
      <c r="N13" s="39">
        <v>0.22588826579493884</v>
      </c>
      <c r="O13" s="39">
        <v>0.64000761550833696</v>
      </c>
      <c r="P13" s="26"/>
      <c r="Q13" s="26"/>
      <c r="R13" s="26"/>
    </row>
    <row r="14" spans="1:18" x14ac:dyDescent="0.3">
      <c r="A14" s="32">
        <v>3</v>
      </c>
      <c r="B14" s="32">
        <v>149.99</v>
      </c>
      <c r="C14" s="32">
        <v>449.97</v>
      </c>
      <c r="J14" s="39" t="s">
        <v>420</v>
      </c>
      <c r="K14" s="39">
        <v>19</v>
      </c>
      <c r="L14" s="39">
        <v>2011796.328671328</v>
      </c>
      <c r="M14" s="39">
        <v>105884.01729849094</v>
      </c>
      <c r="N14" s="39"/>
      <c r="O14" s="39"/>
      <c r="P14" s="26"/>
      <c r="Q14" s="26"/>
      <c r="R14" s="26"/>
    </row>
    <row r="15" spans="1:18" x14ac:dyDescent="0.3">
      <c r="A15" s="33">
        <v>3</v>
      </c>
      <c r="B15" s="33">
        <v>59.99</v>
      </c>
      <c r="C15" s="33">
        <v>179.97</v>
      </c>
      <c r="J15" s="39" t="s">
        <v>421</v>
      </c>
      <c r="K15" s="39">
        <v>20</v>
      </c>
      <c r="L15" s="39">
        <v>2035714.2857142854</v>
      </c>
      <c r="M15" s="39"/>
      <c r="N15" s="39"/>
      <c r="O15" s="39"/>
      <c r="P15" s="26"/>
      <c r="Q15" s="26"/>
      <c r="R15" s="26"/>
    </row>
    <row r="16" spans="1:18" x14ac:dyDescent="0.3">
      <c r="A16" s="32">
        <v>3</v>
      </c>
      <c r="B16" s="32">
        <v>699.99</v>
      </c>
      <c r="C16" s="32">
        <v>2099.9699999999998</v>
      </c>
      <c r="J16" s="26"/>
      <c r="K16" s="26"/>
      <c r="L16" s="26"/>
      <c r="M16" s="26"/>
      <c r="N16" s="26"/>
      <c r="O16" s="26"/>
      <c r="P16" s="26"/>
      <c r="Q16" s="26"/>
      <c r="R16" s="26"/>
    </row>
    <row r="17" spans="1:18" x14ac:dyDescent="0.3">
      <c r="A17" s="33">
        <v>1</v>
      </c>
      <c r="B17" s="33">
        <v>899.99</v>
      </c>
      <c r="C17" s="33">
        <v>899.99</v>
      </c>
      <c r="J17" s="40"/>
      <c r="K17" s="40" t="s">
        <v>428</v>
      </c>
      <c r="L17" s="40" t="s">
        <v>412</v>
      </c>
      <c r="M17" s="40" t="s">
        <v>429</v>
      </c>
      <c r="N17" s="40" t="s">
        <v>430</v>
      </c>
      <c r="O17" s="40" t="s">
        <v>431</v>
      </c>
      <c r="P17" s="40" t="s">
        <v>432</v>
      </c>
      <c r="Q17" s="40" t="s">
        <v>433</v>
      </c>
      <c r="R17" s="40" t="s">
        <v>434</v>
      </c>
    </row>
    <row r="18" spans="1:18" x14ac:dyDescent="0.3">
      <c r="A18" s="32">
        <v>4</v>
      </c>
      <c r="B18" s="32">
        <v>149.99</v>
      </c>
      <c r="C18" s="32">
        <v>599.96</v>
      </c>
      <c r="J18" s="39" t="s">
        <v>422</v>
      </c>
      <c r="K18" s="39">
        <v>418.81867132867126</v>
      </c>
      <c r="L18" s="39">
        <v>211.21546421442548</v>
      </c>
      <c r="M18" s="39">
        <v>1.982897762180365</v>
      </c>
      <c r="N18" s="39">
        <v>6.2025061977831503E-2</v>
      </c>
      <c r="O18" s="39">
        <v>-23.260375935138768</v>
      </c>
      <c r="P18" s="39">
        <v>860.89771859248128</v>
      </c>
      <c r="Q18" s="39">
        <v>-23.260375935138768</v>
      </c>
      <c r="R18" s="39">
        <v>860.89771859248128</v>
      </c>
    </row>
    <row r="19" spans="1:18" x14ac:dyDescent="0.3">
      <c r="A19" s="33">
        <v>2</v>
      </c>
      <c r="B19" s="33">
        <v>699.99</v>
      </c>
      <c r="C19" s="33">
        <v>1399.98</v>
      </c>
      <c r="J19" s="39" t="s">
        <v>435</v>
      </c>
      <c r="K19" s="39">
        <v>-29.632867132867133</v>
      </c>
      <c r="L19" s="39">
        <v>62.348618953703451</v>
      </c>
      <c r="M19" s="39">
        <v>-0.47527704109806862</v>
      </c>
      <c r="N19" s="39">
        <v>0.64000761550833962</v>
      </c>
      <c r="O19" s="39">
        <v>-160.13002636210632</v>
      </c>
      <c r="P19" s="39">
        <v>100.86429209637204</v>
      </c>
      <c r="Q19" s="39">
        <v>-160.13002636210632</v>
      </c>
      <c r="R19" s="39">
        <v>100.86429209637204</v>
      </c>
    </row>
    <row r="20" spans="1:18" x14ac:dyDescent="0.3">
      <c r="A20" s="32">
        <v>4</v>
      </c>
      <c r="B20" s="32">
        <v>899.99</v>
      </c>
      <c r="C20" s="32">
        <v>3599.96</v>
      </c>
    </row>
    <row r="21" spans="1:18" x14ac:dyDescent="0.3">
      <c r="A21" s="33">
        <v>3</v>
      </c>
      <c r="B21" s="33">
        <v>249.99</v>
      </c>
      <c r="C21" s="33">
        <v>749.97</v>
      </c>
    </row>
    <row r="22" spans="1:18" x14ac:dyDescent="0.3">
      <c r="A22" s="32">
        <v>5</v>
      </c>
      <c r="B22" s="32">
        <v>699.99</v>
      </c>
      <c r="C22" s="32">
        <v>3499.95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F006-A261-43A3-829D-A0C56D8CB1DC}">
  <dimension ref="A1:C251"/>
  <sheetViews>
    <sheetView zoomScale="145" zoomScaleNormal="145" workbookViewId="0">
      <selection activeCell="H4" sqref="H4"/>
    </sheetView>
  </sheetViews>
  <sheetFormatPr defaultRowHeight="14.4" x14ac:dyDescent="0.3"/>
  <cols>
    <col min="1" max="1" width="19.44140625" style="41" bestFit="1" customWidth="1"/>
    <col min="2" max="2" width="11.21875" style="41" bestFit="1" customWidth="1"/>
    <col min="3" max="3" width="10.109375" style="41" bestFit="1" customWidth="1"/>
    <col min="8" max="8" width="22" bestFit="1" customWidth="1"/>
    <col min="9" max="11" width="10.44140625" bestFit="1" customWidth="1"/>
    <col min="12" max="12" width="11.33203125" bestFit="1" customWidth="1"/>
    <col min="13" max="13" width="11.77734375" bestFit="1" customWidth="1"/>
    <col min="14" max="14" width="12" bestFit="1" customWidth="1"/>
    <col min="15" max="15" width="10.33203125" bestFit="1" customWidth="1"/>
    <col min="16" max="16" width="13.77734375" bestFit="1" customWidth="1"/>
    <col min="17" max="17" width="11" bestFit="1" customWidth="1"/>
    <col min="18" max="18" width="14.21875" bestFit="1" customWidth="1"/>
    <col min="19" max="20" width="14.6640625" bestFit="1" customWidth="1"/>
    <col min="21" max="21" width="12.109375" bestFit="1" customWidth="1"/>
    <col min="22" max="22" width="12.44140625" bestFit="1" customWidth="1"/>
    <col min="23" max="23" width="11.33203125" bestFit="1" customWidth="1"/>
    <col min="24" max="24" width="13.33203125" bestFit="1" customWidth="1"/>
    <col min="25" max="25" width="13.77734375" bestFit="1" customWidth="1"/>
    <col min="26" max="27" width="12.6640625" bestFit="1" customWidth="1"/>
    <col min="28" max="28" width="13.6640625" bestFit="1" customWidth="1"/>
    <col min="29" max="29" width="13.44140625" bestFit="1" customWidth="1"/>
    <col min="30" max="30" width="10.33203125" bestFit="1" customWidth="1"/>
    <col min="31" max="31" width="13.88671875" bestFit="1" customWidth="1"/>
    <col min="32" max="32" width="10.21875" bestFit="1" customWidth="1"/>
    <col min="33" max="33" width="9.33203125" bestFit="1" customWidth="1"/>
    <col min="34" max="34" width="15.6640625" bestFit="1" customWidth="1"/>
    <col min="35" max="35" width="10.44140625" bestFit="1" customWidth="1"/>
    <col min="36" max="36" width="13.88671875" bestFit="1" customWidth="1"/>
    <col min="37" max="37" width="11.6640625" bestFit="1" customWidth="1"/>
    <col min="38" max="38" width="12.6640625" bestFit="1" customWidth="1"/>
    <col min="39" max="39" width="15" bestFit="1" customWidth="1"/>
    <col min="40" max="40" width="11.5546875" bestFit="1" customWidth="1"/>
    <col min="41" max="41" width="11" bestFit="1" customWidth="1"/>
    <col min="42" max="42" width="13.6640625" bestFit="1" customWidth="1"/>
    <col min="43" max="43" width="14.33203125" bestFit="1" customWidth="1"/>
    <col min="44" max="44" width="12.21875" bestFit="1" customWidth="1"/>
    <col min="45" max="45" width="13.44140625" bestFit="1" customWidth="1"/>
    <col min="46" max="46" width="9.88671875" bestFit="1" customWidth="1"/>
    <col min="47" max="47" width="15.33203125" bestFit="1" customWidth="1"/>
    <col min="48" max="48" width="13.44140625" bestFit="1" customWidth="1"/>
    <col min="49" max="49" width="10.6640625" bestFit="1" customWidth="1"/>
    <col min="50" max="50" width="13.88671875" bestFit="1" customWidth="1"/>
    <col min="51" max="51" width="11.21875" bestFit="1" customWidth="1"/>
    <col min="52" max="52" width="13.33203125" bestFit="1" customWidth="1"/>
    <col min="53" max="53" width="10.6640625" bestFit="1" customWidth="1"/>
    <col min="54" max="54" width="12.44140625" bestFit="1" customWidth="1"/>
    <col min="55" max="55" width="12.77734375" bestFit="1" customWidth="1"/>
    <col min="56" max="56" width="11.44140625" bestFit="1" customWidth="1"/>
    <col min="57" max="57" width="14.5546875" bestFit="1" customWidth="1"/>
    <col min="58" max="58" width="12.77734375" bestFit="1" customWidth="1"/>
    <col min="59" max="59" width="7" bestFit="1" customWidth="1"/>
    <col min="60" max="60" width="11.33203125" bestFit="1" customWidth="1"/>
  </cols>
  <sheetData>
    <row r="1" spans="1:3" x14ac:dyDescent="0.3">
      <c r="A1" s="41" t="s">
        <v>437</v>
      </c>
      <c r="B1" s="41" t="s">
        <v>438</v>
      </c>
      <c r="C1" s="41" t="s">
        <v>439</v>
      </c>
    </row>
    <row r="2" spans="1:3" x14ac:dyDescent="0.3">
      <c r="A2" s="41" t="str" cm="1">
        <f t="array" ref="A2:A251">_xlfn.UNIQUE(Table1[Customer_Name],TRUE)</f>
        <v>Paul Baker</v>
      </c>
      <c r="B2" s="41">
        <f>SUMIFS(Table1[Total_Amount],Table1[Customer_Name],A2)</f>
        <v>8309.739999999998</v>
      </c>
      <c r="C2" s="41" t="str">
        <f>IF(B2&gt;2000,"high value","Normal")</f>
        <v>high value</v>
      </c>
    </row>
    <row r="3" spans="1:3" x14ac:dyDescent="0.3">
      <c r="A3" s="41" t="str">
        <v>Joseph Jackson</v>
      </c>
      <c r="B3" s="41">
        <f>SUMIFS(Table1[Total_Amount],Table1[Customer_Name],A3)</f>
        <v>6949.84</v>
      </c>
      <c r="C3" s="41" t="str">
        <f t="shared" ref="C3:C66" si="0">IF(B3&gt;2000,"high value","Normal")</f>
        <v>high value</v>
      </c>
    </row>
    <row r="4" spans="1:3" x14ac:dyDescent="0.3">
      <c r="A4" s="41" t="str">
        <v>Kevin Scott</v>
      </c>
      <c r="B4" s="41">
        <f>SUMIFS(Table1[Total_Amount],Table1[Customer_Name],A4)</f>
        <v>3259.87</v>
      </c>
      <c r="C4" s="41" t="str">
        <f t="shared" si="0"/>
        <v>high value</v>
      </c>
    </row>
    <row r="5" spans="1:3" x14ac:dyDescent="0.3">
      <c r="A5" s="41" t="str">
        <v>Kathleen Bennett</v>
      </c>
      <c r="B5" s="41">
        <f>SUMIFS(Table1[Total_Amount],Table1[Customer_Name],A5)</f>
        <v>4309.8099999999995</v>
      </c>
      <c r="C5" s="41" t="str">
        <f t="shared" si="0"/>
        <v>high value</v>
      </c>
    </row>
    <row r="6" spans="1:3" x14ac:dyDescent="0.3">
      <c r="A6" s="41" t="str">
        <v>Michael Brown</v>
      </c>
      <c r="B6" s="41">
        <f>SUMIFS(Table1[Total_Amount],Table1[Customer_Name],A6)</f>
        <v>6169.7400000000007</v>
      </c>
      <c r="C6" s="41" t="str">
        <f t="shared" si="0"/>
        <v>high value</v>
      </c>
    </row>
    <row r="7" spans="1:3" x14ac:dyDescent="0.3">
      <c r="A7" s="41" t="str">
        <v>Dorothy Nelson</v>
      </c>
      <c r="B7" s="41">
        <f>SUMIFS(Table1[Total_Amount],Table1[Customer_Name],A7)</f>
        <v>8269.7900000000009</v>
      </c>
      <c r="C7" s="41" t="str">
        <f t="shared" si="0"/>
        <v>high value</v>
      </c>
    </row>
    <row r="8" spans="1:3" x14ac:dyDescent="0.3">
      <c r="A8" s="41" t="str">
        <v>Dorothy Nelson</v>
      </c>
      <c r="B8" s="41">
        <f>SUMIFS(Table1[Total_Amount],Table1[Customer_Name],A8)</f>
        <v>8269.7900000000009</v>
      </c>
      <c r="C8" s="41" t="str">
        <f t="shared" si="0"/>
        <v>high value</v>
      </c>
    </row>
    <row r="9" spans="1:3" x14ac:dyDescent="0.3">
      <c r="A9" s="41" t="str">
        <v>Charles Allen</v>
      </c>
      <c r="B9" s="41">
        <f>SUMIFS(Table1[Total_Amount],Table1[Customer_Name],A9)</f>
        <v>5089.7300000000005</v>
      </c>
      <c r="C9" s="41" t="str">
        <f t="shared" si="0"/>
        <v>high value</v>
      </c>
    </row>
    <row r="10" spans="1:3" x14ac:dyDescent="0.3">
      <c r="A10" s="41" t="str">
        <v>Robert Thomas</v>
      </c>
      <c r="B10" s="41">
        <f>SUMIFS(Table1[Total_Amount],Table1[Customer_Name],A10)</f>
        <v>3509.8999999999996</v>
      </c>
      <c r="C10" s="41" t="str">
        <f t="shared" si="0"/>
        <v>high value</v>
      </c>
    </row>
    <row r="11" spans="1:3" x14ac:dyDescent="0.3">
      <c r="A11" s="41" t="str">
        <v>Karen Hill</v>
      </c>
      <c r="B11" s="41">
        <f>SUMIFS(Table1[Total_Amount],Table1[Customer_Name],A11)</f>
        <v>8009.7699999999995</v>
      </c>
      <c r="C11" s="41" t="str">
        <f t="shared" si="0"/>
        <v>high value</v>
      </c>
    </row>
    <row r="12" spans="1:3" x14ac:dyDescent="0.3">
      <c r="A12" s="41" t="str">
        <v>Susan Green</v>
      </c>
      <c r="B12" s="41">
        <f>SUMIFS(Table1[Total_Amount],Table1[Customer_Name],A12)</f>
        <v>1979.89</v>
      </c>
      <c r="C12" s="41" t="str">
        <f t="shared" si="0"/>
        <v>Normal</v>
      </c>
    </row>
    <row r="13" spans="1:3" x14ac:dyDescent="0.3">
      <c r="A13" s="41" t="str">
        <v>Kathleen Bennett</v>
      </c>
      <c r="B13" s="41">
        <f>SUMIFS(Table1[Total_Amount],Table1[Customer_Name],A13)</f>
        <v>4309.8099999999995</v>
      </c>
      <c r="C13" s="41" t="str">
        <f t="shared" si="0"/>
        <v>high value</v>
      </c>
    </row>
    <row r="14" spans="1:3" x14ac:dyDescent="0.3">
      <c r="A14" s="41" t="str">
        <v>Peter Richardson</v>
      </c>
      <c r="B14" s="41">
        <f>SUMIFS(Table1[Total_Amount],Table1[Customer_Name],A14)</f>
        <v>5949.85</v>
      </c>
      <c r="C14" s="41" t="str">
        <f t="shared" si="0"/>
        <v>high value</v>
      </c>
    </row>
    <row r="15" spans="1:3" x14ac:dyDescent="0.3">
      <c r="A15" s="41" t="str">
        <v>Dennis Gray</v>
      </c>
      <c r="B15" s="41">
        <f>SUMIFS(Table1[Total_Amount],Table1[Customer_Name],A15)</f>
        <v>479.91999999999996</v>
      </c>
      <c r="C15" s="41" t="str">
        <f t="shared" si="0"/>
        <v>Normal</v>
      </c>
    </row>
    <row r="16" spans="1:3" x14ac:dyDescent="0.3">
      <c r="A16" s="41" t="str">
        <v>Michelle Rogers</v>
      </c>
      <c r="B16" s="41">
        <f>SUMIFS(Table1[Total_Amount],Table1[Customer_Name],A16)</f>
        <v>4199.9399999999996</v>
      </c>
      <c r="C16" s="41" t="str">
        <f t="shared" si="0"/>
        <v>high value</v>
      </c>
    </row>
    <row r="17" spans="1:3" x14ac:dyDescent="0.3">
      <c r="A17" s="41" t="str">
        <v>George Adams</v>
      </c>
      <c r="B17" s="41">
        <f>SUMIFS(Table1[Total_Amount],Table1[Customer_Name],A17)</f>
        <v>3779.93</v>
      </c>
      <c r="C17" s="41" t="str">
        <f t="shared" si="0"/>
        <v>high value</v>
      </c>
    </row>
    <row r="18" spans="1:3" x14ac:dyDescent="0.3">
      <c r="A18" s="41" t="str">
        <v>Mark Carter</v>
      </c>
      <c r="B18" s="41">
        <f>SUMIFS(Table1[Total_Amount],Table1[Customer_Name],A18)</f>
        <v>15659.65</v>
      </c>
      <c r="C18" s="41" t="str">
        <f t="shared" si="0"/>
        <v>high value</v>
      </c>
    </row>
    <row r="19" spans="1:3" x14ac:dyDescent="0.3">
      <c r="A19" s="41" t="str">
        <v>Maria Garcia</v>
      </c>
      <c r="B19" s="41">
        <f>SUMIFS(Table1[Total_Amount],Table1[Customer_Name],A19)</f>
        <v>1909.93</v>
      </c>
      <c r="C19" s="41" t="str">
        <f t="shared" si="0"/>
        <v>Normal</v>
      </c>
    </row>
    <row r="20" spans="1:3" x14ac:dyDescent="0.3">
      <c r="A20" s="41" t="str">
        <v>Mark Carter</v>
      </c>
      <c r="B20" s="41">
        <f>SUMIFS(Table1[Total_Amount],Table1[Customer_Name],A20)</f>
        <v>15659.65</v>
      </c>
      <c r="C20" s="41" t="str">
        <f t="shared" si="0"/>
        <v>high value</v>
      </c>
    </row>
    <row r="21" spans="1:3" x14ac:dyDescent="0.3">
      <c r="A21" s="41" t="str">
        <v>Virginia Sanders</v>
      </c>
      <c r="B21" s="41">
        <f>SUMIFS(Table1[Total_Amount],Table1[Customer_Name],A21)</f>
        <v>4789.7900000000009</v>
      </c>
      <c r="C21" s="41" t="str">
        <f t="shared" si="0"/>
        <v>high value</v>
      </c>
    </row>
    <row r="22" spans="1:3" x14ac:dyDescent="0.3">
      <c r="A22" s="41" t="str">
        <v>Barbara Young</v>
      </c>
      <c r="B22" s="41">
        <f>SUMIFS(Table1[Total_Amount],Table1[Customer_Name],A22)</f>
        <v>10649.8</v>
      </c>
      <c r="C22" s="41" t="str">
        <f t="shared" si="0"/>
        <v>high value</v>
      </c>
    </row>
    <row r="23" spans="1:3" x14ac:dyDescent="0.3">
      <c r="A23" s="41" t="str">
        <v>Patricia Moore</v>
      </c>
      <c r="B23" s="41">
        <f>SUMIFS(Table1[Total_Amount],Table1[Customer_Name],A23)</f>
        <v>9799.73</v>
      </c>
      <c r="C23" s="41" t="str">
        <f t="shared" si="0"/>
        <v>high value</v>
      </c>
    </row>
    <row r="24" spans="1:3" x14ac:dyDescent="0.3">
      <c r="A24" s="41" t="str">
        <v>Cynthia Price</v>
      </c>
      <c r="B24" s="41">
        <f>SUMIFS(Table1[Total_Amount],Table1[Customer_Name],A24)</f>
        <v>3769.8300000000004</v>
      </c>
      <c r="C24" s="41" t="str">
        <f t="shared" si="0"/>
        <v>high value</v>
      </c>
    </row>
    <row r="25" spans="1:3" x14ac:dyDescent="0.3">
      <c r="A25" s="41" t="str">
        <v>Mark Carter</v>
      </c>
      <c r="B25" s="41">
        <f>SUMIFS(Table1[Total_Amount],Table1[Customer_Name],A25)</f>
        <v>15659.65</v>
      </c>
      <c r="C25" s="41" t="str">
        <f t="shared" si="0"/>
        <v>high value</v>
      </c>
    </row>
    <row r="26" spans="1:3" x14ac:dyDescent="0.3">
      <c r="A26" s="41" t="str">
        <v>Nancy Collins</v>
      </c>
      <c r="B26" s="41">
        <f>SUMIFS(Table1[Total_Amount],Table1[Customer_Name],A26)</f>
        <v>4189.7700000000004</v>
      </c>
      <c r="C26" s="41" t="str">
        <f t="shared" si="0"/>
        <v>high value</v>
      </c>
    </row>
    <row r="27" spans="1:3" x14ac:dyDescent="0.3">
      <c r="A27" s="41" t="str">
        <v>Susan Green</v>
      </c>
      <c r="B27" s="41">
        <f>SUMIFS(Table1[Total_Amount],Table1[Customer_Name],A27)</f>
        <v>1979.89</v>
      </c>
      <c r="C27" s="41" t="str">
        <f t="shared" si="0"/>
        <v>Normal</v>
      </c>
    </row>
    <row r="28" spans="1:3" x14ac:dyDescent="0.3">
      <c r="A28" s="41" t="str">
        <v>Linda Martin</v>
      </c>
      <c r="B28" s="41">
        <f>SUMIFS(Table1[Total_Amount],Table1[Customer_Name],A28)</f>
        <v>1289.9000000000001</v>
      </c>
      <c r="C28" s="41" t="str">
        <f t="shared" si="0"/>
        <v>Normal</v>
      </c>
    </row>
    <row r="29" spans="1:3" x14ac:dyDescent="0.3">
      <c r="A29" s="41" t="str">
        <v>Patricia Moore</v>
      </c>
      <c r="B29" s="41">
        <f>SUMIFS(Table1[Total_Amount],Table1[Customer_Name],A29)</f>
        <v>9799.73</v>
      </c>
      <c r="C29" s="41" t="str">
        <f t="shared" si="0"/>
        <v>high value</v>
      </c>
    </row>
    <row r="30" spans="1:3" x14ac:dyDescent="0.3">
      <c r="A30" s="41" t="str">
        <v>Helen Roberts</v>
      </c>
      <c r="B30" s="41">
        <f>SUMIFS(Table1[Total_Amount],Table1[Customer_Name],A30)</f>
        <v>6459.79</v>
      </c>
      <c r="C30" s="41" t="str">
        <f t="shared" si="0"/>
        <v>high value</v>
      </c>
    </row>
    <row r="31" spans="1:3" x14ac:dyDescent="0.3">
      <c r="A31" s="41" t="str">
        <v>Edward Mitchell</v>
      </c>
      <c r="B31" s="41">
        <f>SUMIFS(Table1[Total_Amount],Table1[Customer_Name],A31)</f>
        <v>11919.769999999999</v>
      </c>
      <c r="C31" s="41" t="str">
        <f t="shared" si="0"/>
        <v>high value</v>
      </c>
    </row>
    <row r="32" spans="1:3" x14ac:dyDescent="0.3">
      <c r="A32" s="41" t="str">
        <v>Charles Allen</v>
      </c>
      <c r="B32" s="41">
        <f>SUMIFS(Table1[Total_Amount],Table1[Customer_Name],A32)</f>
        <v>5089.7300000000005</v>
      </c>
      <c r="C32" s="41" t="str">
        <f t="shared" si="0"/>
        <v>high value</v>
      </c>
    </row>
    <row r="33" spans="1:3" x14ac:dyDescent="0.3">
      <c r="A33" s="41" t="str">
        <v>Lisa Anderson</v>
      </c>
      <c r="B33" s="41">
        <f>SUMIFS(Table1[Total_Amount],Table1[Customer_Name],A33)</f>
        <v>2039.8000000000002</v>
      </c>
      <c r="C33" s="41" t="str">
        <f t="shared" si="0"/>
        <v>high value</v>
      </c>
    </row>
    <row r="34" spans="1:3" x14ac:dyDescent="0.3">
      <c r="A34" s="41" t="str">
        <v>Emma Wilson</v>
      </c>
      <c r="B34" s="41">
        <f>SUMIFS(Table1[Total_Amount],Table1[Customer_Name],A34)</f>
        <v>1229.8800000000001</v>
      </c>
      <c r="C34" s="41" t="str">
        <f t="shared" si="0"/>
        <v>Normal</v>
      </c>
    </row>
    <row r="35" spans="1:3" x14ac:dyDescent="0.3">
      <c r="A35" s="41" t="str">
        <v>Kevin Scott</v>
      </c>
      <c r="B35" s="41">
        <f>SUMIFS(Table1[Total_Amount],Table1[Customer_Name],A35)</f>
        <v>3259.87</v>
      </c>
      <c r="C35" s="41" t="str">
        <f t="shared" si="0"/>
        <v>high value</v>
      </c>
    </row>
    <row r="36" spans="1:3" x14ac:dyDescent="0.3">
      <c r="A36" s="41" t="str">
        <v>Patricia Moore</v>
      </c>
      <c r="B36" s="41">
        <f>SUMIFS(Table1[Total_Amount],Table1[Customer_Name],A36)</f>
        <v>9799.73</v>
      </c>
      <c r="C36" s="41" t="str">
        <f t="shared" si="0"/>
        <v>high value</v>
      </c>
    </row>
    <row r="37" spans="1:3" x14ac:dyDescent="0.3">
      <c r="A37" s="41" t="str">
        <v>Lisa Anderson</v>
      </c>
      <c r="B37" s="41">
        <f>SUMIFS(Table1[Total_Amount],Table1[Customer_Name],A37)</f>
        <v>2039.8000000000002</v>
      </c>
      <c r="C37" s="41" t="str">
        <f t="shared" si="0"/>
        <v>high value</v>
      </c>
    </row>
    <row r="38" spans="1:3" x14ac:dyDescent="0.3">
      <c r="A38" s="41" t="str">
        <v>Steven Turner</v>
      </c>
      <c r="B38" s="41">
        <f>SUMIFS(Table1[Total_Amount],Table1[Customer_Name],A38)</f>
        <v>2649.83</v>
      </c>
      <c r="C38" s="41" t="str">
        <f t="shared" si="0"/>
        <v>high value</v>
      </c>
    </row>
    <row r="39" spans="1:3" x14ac:dyDescent="0.3">
      <c r="A39" s="41" t="str">
        <v>Jennifer Taylor</v>
      </c>
      <c r="B39" s="41">
        <f>SUMIFS(Table1[Total_Amount],Table1[Customer_Name],A39)</f>
        <v>4739.8500000000004</v>
      </c>
      <c r="C39" s="41" t="str">
        <f t="shared" si="0"/>
        <v>high value</v>
      </c>
    </row>
    <row r="40" spans="1:3" x14ac:dyDescent="0.3">
      <c r="A40" s="41" t="str">
        <v>Harry Morgan</v>
      </c>
      <c r="B40" s="41">
        <f>SUMIFS(Table1[Total_Amount],Table1[Customer_Name],A40)</f>
        <v>5519.8899999999994</v>
      </c>
      <c r="C40" s="41" t="str">
        <f t="shared" si="0"/>
        <v>high value</v>
      </c>
    </row>
    <row r="41" spans="1:3" x14ac:dyDescent="0.3">
      <c r="A41" s="41" t="str">
        <v>Daniel King</v>
      </c>
      <c r="B41" s="41">
        <f>SUMIFS(Table1[Total_Amount],Table1[Customer_Name],A41)</f>
        <v>7309.7999999999993</v>
      </c>
      <c r="C41" s="41" t="str">
        <f t="shared" si="0"/>
        <v>high value</v>
      </c>
    </row>
    <row r="42" spans="1:3" x14ac:dyDescent="0.3">
      <c r="A42" s="41" t="str">
        <v>Sharon Butler</v>
      </c>
      <c r="B42" s="41">
        <f>SUMIFS(Table1[Total_Amount],Table1[Customer_Name],A42)</f>
        <v>5619.869999999999</v>
      </c>
      <c r="C42" s="41" t="str">
        <f t="shared" si="0"/>
        <v>high value</v>
      </c>
    </row>
    <row r="43" spans="1:3" x14ac:dyDescent="0.3">
      <c r="A43" s="41" t="str">
        <v>Charles Allen</v>
      </c>
      <c r="B43" s="41">
        <f>SUMIFS(Table1[Total_Amount],Table1[Customer_Name],A43)</f>
        <v>5089.7300000000005</v>
      </c>
      <c r="C43" s="41" t="str">
        <f t="shared" si="0"/>
        <v>high value</v>
      </c>
    </row>
    <row r="44" spans="1:3" x14ac:dyDescent="0.3">
      <c r="A44" s="41" t="str">
        <v>Sarah Davis</v>
      </c>
      <c r="B44" s="41">
        <f>SUMIFS(Table1[Total_Amount],Table1[Customer_Name],A44)</f>
        <v>5499.8099999999995</v>
      </c>
      <c r="C44" s="41" t="str">
        <f t="shared" si="0"/>
        <v>high value</v>
      </c>
    </row>
    <row r="45" spans="1:3" x14ac:dyDescent="0.3">
      <c r="A45" s="41" t="str">
        <v>Joseph Jackson</v>
      </c>
      <c r="B45" s="41">
        <f>SUMIFS(Table1[Total_Amount],Table1[Customer_Name],A45)</f>
        <v>6949.84</v>
      </c>
      <c r="C45" s="41" t="str">
        <f t="shared" si="0"/>
        <v>high value</v>
      </c>
    </row>
    <row r="46" spans="1:3" x14ac:dyDescent="0.3">
      <c r="A46" s="41" t="str">
        <v>Betty Campbell</v>
      </c>
      <c r="B46" s="41">
        <f>SUMIFS(Table1[Total_Amount],Table1[Customer_Name],A46)</f>
        <v>5649.84</v>
      </c>
      <c r="C46" s="41" t="str">
        <f t="shared" si="0"/>
        <v>high value</v>
      </c>
    </row>
    <row r="47" spans="1:3" x14ac:dyDescent="0.3">
      <c r="A47" s="41" t="str">
        <v>Michael Brown</v>
      </c>
      <c r="B47" s="41">
        <f>SUMIFS(Table1[Total_Amount],Table1[Customer_Name],A47)</f>
        <v>6169.7400000000007</v>
      </c>
      <c r="C47" s="41" t="str">
        <f t="shared" si="0"/>
        <v>high value</v>
      </c>
    </row>
    <row r="48" spans="1:3" x14ac:dyDescent="0.3">
      <c r="A48" s="41" t="str">
        <v>Julie Foster</v>
      </c>
      <c r="B48" s="41">
        <f>SUMIFS(Table1[Total_Amount],Table1[Customer_Name],A48)</f>
        <v>239.96</v>
      </c>
      <c r="C48" s="41" t="str">
        <f t="shared" si="0"/>
        <v>Normal</v>
      </c>
    </row>
    <row r="49" spans="1:3" x14ac:dyDescent="0.3">
      <c r="A49" s="41" t="str">
        <v>Lisa Anderson</v>
      </c>
      <c r="B49" s="41">
        <f>SUMIFS(Table1[Total_Amount],Table1[Customer_Name],A49)</f>
        <v>2039.8000000000002</v>
      </c>
      <c r="C49" s="41" t="str">
        <f t="shared" si="0"/>
        <v>high value</v>
      </c>
    </row>
    <row r="50" spans="1:3" x14ac:dyDescent="0.3">
      <c r="A50" s="41" t="str">
        <v>Patricia Moore</v>
      </c>
      <c r="B50" s="41">
        <f>SUMIFS(Table1[Total_Amount],Table1[Customer_Name],A50)</f>
        <v>9799.73</v>
      </c>
      <c r="C50" s="41" t="str">
        <f t="shared" si="0"/>
        <v>high value</v>
      </c>
    </row>
    <row r="51" spans="1:3" x14ac:dyDescent="0.3">
      <c r="A51" s="41" t="str">
        <v>Paul Baker</v>
      </c>
      <c r="B51" s="41">
        <f>SUMIFS(Table1[Total_Amount],Table1[Customer_Name],A51)</f>
        <v>8309.739999999998</v>
      </c>
      <c r="C51" s="41" t="str">
        <f t="shared" si="0"/>
        <v>high value</v>
      </c>
    </row>
    <row r="52" spans="1:3" x14ac:dyDescent="0.3">
      <c r="A52" s="41" t="str">
        <v>Edward Mitchell</v>
      </c>
      <c r="B52" s="41">
        <f>SUMIFS(Table1[Total_Amount],Table1[Customer_Name],A52)</f>
        <v>11919.769999999999</v>
      </c>
      <c r="C52" s="41" t="str">
        <f t="shared" si="0"/>
        <v>high value</v>
      </c>
    </row>
    <row r="53" spans="1:3" x14ac:dyDescent="0.3">
      <c r="A53" s="41" t="str">
        <v>Betty Campbell</v>
      </c>
      <c r="B53" s="41">
        <f>SUMIFS(Table1[Total_Amount],Table1[Customer_Name],A53)</f>
        <v>5649.84</v>
      </c>
      <c r="C53" s="41" t="str">
        <f t="shared" si="0"/>
        <v>high value</v>
      </c>
    </row>
    <row r="54" spans="1:3" x14ac:dyDescent="0.3">
      <c r="A54" s="41" t="str">
        <v>Jennifer Taylor</v>
      </c>
      <c r="B54" s="41">
        <f>SUMIFS(Table1[Total_Amount],Table1[Customer_Name],A54)</f>
        <v>4739.8500000000004</v>
      </c>
      <c r="C54" s="41" t="str">
        <f t="shared" si="0"/>
        <v>high value</v>
      </c>
    </row>
    <row r="55" spans="1:3" x14ac:dyDescent="0.3">
      <c r="A55" s="41" t="str">
        <v>Raymond Ross</v>
      </c>
      <c r="B55" s="41">
        <f>SUMIFS(Table1[Total_Amount],Table1[Customer_Name],A55)</f>
        <v>3669.8500000000004</v>
      </c>
      <c r="C55" s="41" t="str">
        <f t="shared" si="0"/>
        <v>high value</v>
      </c>
    </row>
    <row r="56" spans="1:3" x14ac:dyDescent="0.3">
      <c r="A56" s="41" t="str">
        <v>Kevin Scott</v>
      </c>
      <c r="B56" s="41">
        <f>SUMIFS(Table1[Total_Amount],Table1[Customer_Name],A56)</f>
        <v>3259.87</v>
      </c>
      <c r="C56" s="41" t="str">
        <f t="shared" si="0"/>
        <v>high value</v>
      </c>
    </row>
    <row r="57" spans="1:3" x14ac:dyDescent="0.3">
      <c r="A57" s="41" t="str">
        <v>Robert Thomas</v>
      </c>
      <c r="B57" s="41">
        <f>SUMIFS(Table1[Total_Amount],Table1[Customer_Name],A57)</f>
        <v>3509.8999999999996</v>
      </c>
      <c r="C57" s="41" t="str">
        <f t="shared" si="0"/>
        <v>high value</v>
      </c>
    </row>
    <row r="58" spans="1:3" x14ac:dyDescent="0.3">
      <c r="A58" s="41" t="str">
        <v>Kathleen Bennett</v>
      </c>
      <c r="B58" s="41">
        <f>SUMIFS(Table1[Total_Amount],Table1[Customer_Name],A58)</f>
        <v>4309.8099999999995</v>
      </c>
      <c r="C58" s="41" t="str">
        <f t="shared" si="0"/>
        <v>high value</v>
      </c>
    </row>
    <row r="59" spans="1:3" x14ac:dyDescent="0.3">
      <c r="A59" s="41" t="str">
        <v>Patricia Moore</v>
      </c>
      <c r="B59" s="41">
        <f>SUMIFS(Table1[Total_Amount],Table1[Customer_Name],A59)</f>
        <v>9799.73</v>
      </c>
      <c r="C59" s="41" t="str">
        <f t="shared" si="0"/>
        <v>high value</v>
      </c>
    </row>
    <row r="60" spans="1:3" x14ac:dyDescent="0.3">
      <c r="A60" s="41" t="str">
        <v>Helen Roberts</v>
      </c>
      <c r="B60" s="41">
        <f>SUMIFS(Table1[Total_Amount],Table1[Customer_Name],A60)</f>
        <v>6459.79</v>
      </c>
      <c r="C60" s="41" t="str">
        <f t="shared" si="0"/>
        <v>high value</v>
      </c>
    </row>
    <row r="61" spans="1:3" x14ac:dyDescent="0.3">
      <c r="A61" s="41" t="str">
        <v>Emma Wilson</v>
      </c>
      <c r="B61" s="41">
        <f>SUMIFS(Table1[Total_Amount],Table1[Customer_Name],A61)</f>
        <v>1229.8800000000001</v>
      </c>
      <c r="C61" s="41" t="str">
        <f t="shared" si="0"/>
        <v>Normal</v>
      </c>
    </row>
    <row r="62" spans="1:3" x14ac:dyDescent="0.3">
      <c r="A62" s="41" t="str">
        <v>Charles Allen</v>
      </c>
      <c r="B62" s="41">
        <f>SUMIFS(Table1[Total_Amount],Table1[Customer_Name],A62)</f>
        <v>5089.7300000000005</v>
      </c>
      <c r="C62" s="41" t="str">
        <f t="shared" si="0"/>
        <v>high value</v>
      </c>
    </row>
    <row r="63" spans="1:3" x14ac:dyDescent="0.3">
      <c r="A63" s="41" t="str">
        <v>Susan Green</v>
      </c>
      <c r="B63" s="41">
        <f>SUMIFS(Table1[Total_Amount],Table1[Customer_Name],A63)</f>
        <v>1979.89</v>
      </c>
      <c r="C63" s="41" t="str">
        <f t="shared" si="0"/>
        <v>Normal</v>
      </c>
    </row>
    <row r="64" spans="1:3" x14ac:dyDescent="0.3">
      <c r="A64" s="41" t="str">
        <v>David Martinez</v>
      </c>
      <c r="B64" s="41">
        <f>SUMIFS(Table1[Total_Amount],Table1[Customer_Name],A64)</f>
        <v>1809.84</v>
      </c>
      <c r="C64" s="41" t="str">
        <f t="shared" si="0"/>
        <v>Normal</v>
      </c>
    </row>
    <row r="65" spans="1:3" x14ac:dyDescent="0.3">
      <c r="A65" s="41" t="str">
        <v>Margaret Wright</v>
      </c>
      <c r="B65" s="41">
        <f>SUMIFS(Table1[Total_Amount],Table1[Customer_Name],A65)</f>
        <v>2099.88</v>
      </c>
      <c r="C65" s="41" t="str">
        <f t="shared" si="0"/>
        <v>high value</v>
      </c>
    </row>
    <row r="66" spans="1:3" x14ac:dyDescent="0.3">
      <c r="A66" s="41" t="str">
        <v>Michael Brown</v>
      </c>
      <c r="B66" s="41">
        <f>SUMIFS(Table1[Total_Amount],Table1[Customer_Name],A66)</f>
        <v>6169.7400000000007</v>
      </c>
      <c r="C66" s="41" t="str">
        <f t="shared" si="0"/>
        <v>high value</v>
      </c>
    </row>
    <row r="67" spans="1:3" x14ac:dyDescent="0.3">
      <c r="A67" s="41" t="str">
        <v>Barbara Young</v>
      </c>
      <c r="B67" s="41">
        <f>SUMIFS(Table1[Total_Amount],Table1[Customer_Name],A67)</f>
        <v>10649.8</v>
      </c>
      <c r="C67" s="41" t="str">
        <f t="shared" ref="C67:C130" si="1">IF(B67&gt;2000,"high value","Normal")</f>
        <v>high value</v>
      </c>
    </row>
    <row r="68" spans="1:3" x14ac:dyDescent="0.3">
      <c r="A68" s="41" t="str">
        <v>Raymond Ross</v>
      </c>
      <c r="B68" s="41">
        <f>SUMIFS(Table1[Total_Amount],Table1[Customer_Name],A68)</f>
        <v>3669.8500000000004</v>
      </c>
      <c r="C68" s="41" t="str">
        <f t="shared" si="1"/>
        <v>high value</v>
      </c>
    </row>
    <row r="69" spans="1:3" x14ac:dyDescent="0.3">
      <c r="A69" s="41" t="str">
        <v>Joseph Jackson</v>
      </c>
      <c r="B69" s="41">
        <f>SUMIFS(Table1[Total_Amount],Table1[Customer_Name],A69)</f>
        <v>6949.84</v>
      </c>
      <c r="C69" s="41" t="str">
        <f t="shared" si="1"/>
        <v>high value</v>
      </c>
    </row>
    <row r="70" spans="1:3" x14ac:dyDescent="0.3">
      <c r="A70" s="41" t="str">
        <v>Frank Torres</v>
      </c>
      <c r="B70" s="41">
        <f>SUMIFS(Table1[Total_Amount],Table1[Customer_Name],A70)</f>
        <v>1479.91</v>
      </c>
      <c r="C70" s="41" t="str">
        <f t="shared" si="1"/>
        <v>Normal</v>
      </c>
    </row>
    <row r="71" spans="1:3" x14ac:dyDescent="0.3">
      <c r="A71" s="41" t="str">
        <v>Frank Torres</v>
      </c>
      <c r="B71" s="41">
        <f>SUMIFS(Table1[Total_Amount],Table1[Customer_Name],A71)</f>
        <v>1479.91</v>
      </c>
      <c r="C71" s="41" t="str">
        <f t="shared" si="1"/>
        <v>Normal</v>
      </c>
    </row>
    <row r="72" spans="1:3" x14ac:dyDescent="0.3">
      <c r="A72" s="41" t="str">
        <v>Gerald Murphy</v>
      </c>
      <c r="B72" s="41">
        <f>SUMIFS(Table1[Total_Amount],Table1[Customer_Name],A72)</f>
        <v>6379.87</v>
      </c>
      <c r="C72" s="41" t="str">
        <f t="shared" si="1"/>
        <v>high value</v>
      </c>
    </row>
    <row r="73" spans="1:3" x14ac:dyDescent="0.3">
      <c r="A73" s="41" t="str">
        <v>Peter Richardson</v>
      </c>
      <c r="B73" s="41">
        <f>SUMIFS(Table1[Total_Amount],Table1[Customer_Name],A73)</f>
        <v>5949.85</v>
      </c>
      <c r="C73" s="41" t="str">
        <f t="shared" si="1"/>
        <v>high value</v>
      </c>
    </row>
    <row r="74" spans="1:3" x14ac:dyDescent="0.3">
      <c r="A74" s="41" t="str">
        <v>Karen Hill</v>
      </c>
      <c r="B74" s="41">
        <f>SUMIFS(Table1[Total_Amount],Table1[Customer_Name],A74)</f>
        <v>8009.7699999999995</v>
      </c>
      <c r="C74" s="41" t="str">
        <f t="shared" si="1"/>
        <v>high value</v>
      </c>
    </row>
    <row r="75" spans="1:3" x14ac:dyDescent="0.3">
      <c r="A75" s="41" t="str">
        <v>Sharon Butler</v>
      </c>
      <c r="B75" s="41">
        <f>SUMIFS(Table1[Total_Amount],Table1[Customer_Name],A75)</f>
        <v>5619.869999999999</v>
      </c>
      <c r="C75" s="41" t="str">
        <f t="shared" si="1"/>
        <v>high value</v>
      </c>
    </row>
    <row r="76" spans="1:3" x14ac:dyDescent="0.3">
      <c r="A76" s="41" t="str">
        <v>Joseph Jackson</v>
      </c>
      <c r="B76" s="41">
        <f>SUMIFS(Table1[Total_Amount],Table1[Customer_Name],A76)</f>
        <v>6949.84</v>
      </c>
      <c r="C76" s="41" t="str">
        <f t="shared" si="1"/>
        <v>high value</v>
      </c>
    </row>
    <row r="77" spans="1:3" x14ac:dyDescent="0.3">
      <c r="A77" s="41" t="str">
        <v>David Martinez</v>
      </c>
      <c r="B77" s="41">
        <f>SUMIFS(Table1[Total_Amount],Table1[Customer_Name],A77)</f>
        <v>1809.84</v>
      </c>
      <c r="C77" s="41" t="str">
        <f t="shared" si="1"/>
        <v>Normal</v>
      </c>
    </row>
    <row r="78" spans="1:3" x14ac:dyDescent="0.3">
      <c r="A78" s="41" t="str">
        <v>Gerald Murphy</v>
      </c>
      <c r="B78" s="41">
        <f>SUMIFS(Table1[Total_Amount],Table1[Customer_Name],A78)</f>
        <v>6379.87</v>
      </c>
      <c r="C78" s="41" t="str">
        <f t="shared" si="1"/>
        <v>high value</v>
      </c>
    </row>
    <row r="79" spans="1:3" x14ac:dyDescent="0.3">
      <c r="A79" s="41" t="str">
        <v>Barbara Young</v>
      </c>
      <c r="B79" s="41">
        <f>SUMIFS(Table1[Total_Amount],Table1[Customer_Name],A79)</f>
        <v>10649.8</v>
      </c>
      <c r="C79" s="41" t="str">
        <f t="shared" si="1"/>
        <v>high value</v>
      </c>
    </row>
    <row r="80" spans="1:3" x14ac:dyDescent="0.3">
      <c r="A80" s="41" t="str">
        <v>Daniel King</v>
      </c>
      <c r="B80" s="41">
        <f>SUMIFS(Table1[Total_Amount],Table1[Customer_Name],A80)</f>
        <v>7309.7999999999993</v>
      </c>
      <c r="C80" s="41" t="str">
        <f t="shared" si="1"/>
        <v>high value</v>
      </c>
    </row>
    <row r="81" spans="1:3" x14ac:dyDescent="0.3">
      <c r="A81" s="41" t="str">
        <v>Mark Carter</v>
      </c>
      <c r="B81" s="41">
        <f>SUMIFS(Table1[Total_Amount],Table1[Customer_Name],A81)</f>
        <v>15659.65</v>
      </c>
      <c r="C81" s="41" t="str">
        <f t="shared" si="1"/>
        <v>high value</v>
      </c>
    </row>
    <row r="82" spans="1:3" x14ac:dyDescent="0.3">
      <c r="A82" s="41" t="str">
        <v>Daniel King</v>
      </c>
      <c r="B82" s="41">
        <f>SUMIFS(Table1[Total_Amount],Table1[Customer_Name],A82)</f>
        <v>7309.7999999999993</v>
      </c>
      <c r="C82" s="41" t="str">
        <f t="shared" si="1"/>
        <v>high value</v>
      </c>
    </row>
    <row r="83" spans="1:3" x14ac:dyDescent="0.3">
      <c r="A83" s="41" t="str">
        <v>Mark Carter</v>
      </c>
      <c r="B83" s="41">
        <f>SUMIFS(Table1[Total_Amount],Table1[Customer_Name],A83)</f>
        <v>15659.65</v>
      </c>
      <c r="C83" s="41" t="str">
        <f t="shared" si="1"/>
        <v>high value</v>
      </c>
    </row>
    <row r="84" spans="1:3" x14ac:dyDescent="0.3">
      <c r="A84" s="41" t="str">
        <v>Helen Roberts</v>
      </c>
      <c r="B84" s="41">
        <f>SUMIFS(Table1[Total_Amount],Table1[Customer_Name],A84)</f>
        <v>6459.79</v>
      </c>
      <c r="C84" s="41" t="str">
        <f t="shared" si="1"/>
        <v>high value</v>
      </c>
    </row>
    <row r="85" spans="1:3" x14ac:dyDescent="0.3">
      <c r="A85" s="41" t="str">
        <v>Elizabeth Hall</v>
      </c>
      <c r="B85" s="41">
        <f>SUMIFS(Table1[Total_Amount],Table1[Customer_Name],A85)</f>
        <v>3649.8599999999997</v>
      </c>
      <c r="C85" s="41" t="str">
        <f t="shared" si="1"/>
        <v>high value</v>
      </c>
    </row>
    <row r="86" spans="1:3" x14ac:dyDescent="0.3">
      <c r="A86" s="41" t="str">
        <v>Cynthia Price</v>
      </c>
      <c r="B86" s="41">
        <f>SUMIFS(Table1[Total_Amount],Table1[Customer_Name],A86)</f>
        <v>3769.8300000000004</v>
      </c>
      <c r="C86" s="41" t="str">
        <f t="shared" si="1"/>
        <v>high value</v>
      </c>
    </row>
    <row r="87" spans="1:3" x14ac:dyDescent="0.3">
      <c r="A87" s="41" t="str">
        <v>Maria Garcia</v>
      </c>
      <c r="B87" s="41">
        <f>SUMIFS(Table1[Total_Amount],Table1[Customer_Name],A87)</f>
        <v>1909.93</v>
      </c>
      <c r="C87" s="41" t="str">
        <f t="shared" si="1"/>
        <v>Normal</v>
      </c>
    </row>
    <row r="88" spans="1:3" x14ac:dyDescent="0.3">
      <c r="A88" s="41" t="str">
        <v>Mark Carter</v>
      </c>
      <c r="B88" s="41">
        <f>SUMIFS(Table1[Total_Amount],Table1[Customer_Name],A88)</f>
        <v>15659.65</v>
      </c>
      <c r="C88" s="41" t="str">
        <f t="shared" si="1"/>
        <v>high value</v>
      </c>
    </row>
    <row r="89" spans="1:3" x14ac:dyDescent="0.3">
      <c r="A89" s="41" t="str">
        <v>David Martinez</v>
      </c>
      <c r="B89" s="41">
        <f>SUMIFS(Table1[Total_Amount],Table1[Customer_Name],A89)</f>
        <v>1809.84</v>
      </c>
      <c r="C89" s="41" t="str">
        <f t="shared" si="1"/>
        <v>Normal</v>
      </c>
    </row>
    <row r="90" spans="1:3" x14ac:dyDescent="0.3">
      <c r="A90" s="41" t="str">
        <v>Margaret Wright</v>
      </c>
      <c r="B90" s="41">
        <f>SUMIFS(Table1[Total_Amount],Table1[Customer_Name],A90)</f>
        <v>2099.88</v>
      </c>
      <c r="C90" s="41" t="str">
        <f t="shared" si="1"/>
        <v>high value</v>
      </c>
    </row>
    <row r="91" spans="1:3" x14ac:dyDescent="0.3">
      <c r="A91" s="41" t="str">
        <v>Karen Hill</v>
      </c>
      <c r="B91" s="41">
        <f>SUMIFS(Table1[Total_Amount],Table1[Customer_Name],A91)</f>
        <v>8009.7699999999995</v>
      </c>
      <c r="C91" s="41" t="str">
        <f t="shared" si="1"/>
        <v>high value</v>
      </c>
    </row>
    <row r="92" spans="1:3" x14ac:dyDescent="0.3">
      <c r="A92" s="41" t="str">
        <v>Kathleen Bennett</v>
      </c>
      <c r="B92" s="41">
        <f>SUMIFS(Table1[Total_Amount],Table1[Customer_Name],A92)</f>
        <v>4309.8099999999995</v>
      </c>
      <c r="C92" s="41" t="str">
        <f t="shared" si="1"/>
        <v>high value</v>
      </c>
    </row>
    <row r="93" spans="1:3" x14ac:dyDescent="0.3">
      <c r="A93" s="41" t="str">
        <v>Betty Campbell</v>
      </c>
      <c r="B93" s="41">
        <f>SUMIFS(Table1[Total_Amount],Table1[Customer_Name],A93)</f>
        <v>5649.84</v>
      </c>
      <c r="C93" s="41" t="str">
        <f t="shared" si="1"/>
        <v>high value</v>
      </c>
    </row>
    <row r="94" spans="1:3" x14ac:dyDescent="0.3">
      <c r="A94" s="41" t="str">
        <v>Mark Carter</v>
      </c>
      <c r="B94" s="41">
        <f>SUMIFS(Table1[Total_Amount],Table1[Customer_Name],A94)</f>
        <v>15659.65</v>
      </c>
      <c r="C94" s="41" t="str">
        <f t="shared" si="1"/>
        <v>high value</v>
      </c>
    </row>
    <row r="95" spans="1:3" x14ac:dyDescent="0.3">
      <c r="A95" s="41" t="str">
        <v>Gerald Murphy</v>
      </c>
      <c r="B95" s="41">
        <f>SUMIFS(Table1[Total_Amount],Table1[Customer_Name],A95)</f>
        <v>6379.87</v>
      </c>
      <c r="C95" s="41" t="str">
        <f t="shared" si="1"/>
        <v>high value</v>
      </c>
    </row>
    <row r="96" spans="1:3" x14ac:dyDescent="0.3">
      <c r="A96" s="41" t="str">
        <v>Nancy Collins</v>
      </c>
      <c r="B96" s="41">
        <f>SUMIFS(Table1[Total_Amount],Table1[Customer_Name],A96)</f>
        <v>4189.7700000000004</v>
      </c>
      <c r="C96" s="41" t="str">
        <f t="shared" si="1"/>
        <v>high value</v>
      </c>
    </row>
    <row r="97" spans="1:3" x14ac:dyDescent="0.3">
      <c r="A97" s="41" t="str">
        <v>Cynthia Price</v>
      </c>
      <c r="B97" s="41">
        <f>SUMIFS(Table1[Total_Amount],Table1[Customer_Name],A97)</f>
        <v>3769.8300000000004</v>
      </c>
      <c r="C97" s="41" t="str">
        <f t="shared" si="1"/>
        <v>high value</v>
      </c>
    </row>
    <row r="98" spans="1:3" x14ac:dyDescent="0.3">
      <c r="A98" s="41" t="str">
        <v>Lawrence Reed</v>
      </c>
      <c r="B98" s="41">
        <f>SUMIFS(Table1[Total_Amount],Table1[Customer_Name],A98)</f>
        <v>6989.7699999999986</v>
      </c>
      <c r="C98" s="41" t="str">
        <f t="shared" si="1"/>
        <v>high value</v>
      </c>
    </row>
    <row r="99" spans="1:3" x14ac:dyDescent="0.3">
      <c r="A99" s="41" t="str">
        <v>Harry Morgan</v>
      </c>
      <c r="B99" s="41">
        <f>SUMIFS(Table1[Total_Amount],Table1[Customer_Name],A99)</f>
        <v>5519.8899999999994</v>
      </c>
      <c r="C99" s="41" t="str">
        <f t="shared" si="1"/>
        <v>high value</v>
      </c>
    </row>
    <row r="100" spans="1:3" x14ac:dyDescent="0.3">
      <c r="A100" s="41" t="str">
        <v>Gerald Murphy</v>
      </c>
      <c r="B100" s="41">
        <f>SUMIFS(Table1[Total_Amount],Table1[Customer_Name],A100)</f>
        <v>6379.87</v>
      </c>
      <c r="C100" s="41" t="str">
        <f t="shared" si="1"/>
        <v>high value</v>
      </c>
    </row>
    <row r="101" spans="1:3" x14ac:dyDescent="0.3">
      <c r="A101" s="41" t="str">
        <v>Carol Evans</v>
      </c>
      <c r="B101" s="41">
        <f>SUMIFS(Table1[Total_Amount],Table1[Customer_Name],A101)</f>
        <v>1149.93</v>
      </c>
      <c r="C101" s="41" t="str">
        <f t="shared" si="1"/>
        <v>Normal</v>
      </c>
    </row>
    <row r="102" spans="1:3" x14ac:dyDescent="0.3">
      <c r="A102" s="41" t="str">
        <v>Sandra Phillips</v>
      </c>
      <c r="B102" s="41">
        <f>SUMIFS(Table1[Total_Amount],Table1[Customer_Name],A102)</f>
        <v>6349.83</v>
      </c>
      <c r="C102" s="41" t="str">
        <f t="shared" si="1"/>
        <v>high value</v>
      </c>
    </row>
    <row r="103" spans="1:3" x14ac:dyDescent="0.3">
      <c r="A103" s="41" t="str">
        <v>Carol Evans</v>
      </c>
      <c r="B103" s="41">
        <f>SUMIFS(Table1[Total_Amount],Table1[Customer_Name],A103)</f>
        <v>1149.93</v>
      </c>
      <c r="C103" s="41" t="str">
        <f t="shared" si="1"/>
        <v>Normal</v>
      </c>
    </row>
    <row r="104" spans="1:3" x14ac:dyDescent="0.3">
      <c r="A104" s="41" t="str">
        <v>Paul Baker</v>
      </c>
      <c r="B104" s="41">
        <f>SUMIFS(Table1[Total_Amount],Table1[Customer_Name],A104)</f>
        <v>8309.739999999998</v>
      </c>
      <c r="C104" s="41" t="str">
        <f t="shared" si="1"/>
        <v>high value</v>
      </c>
    </row>
    <row r="105" spans="1:3" x14ac:dyDescent="0.3">
      <c r="A105" s="41" t="str">
        <v>Lawrence Reed</v>
      </c>
      <c r="B105" s="41">
        <f>SUMIFS(Table1[Total_Amount],Table1[Customer_Name],A105)</f>
        <v>6989.7699999999986</v>
      </c>
      <c r="C105" s="41" t="str">
        <f t="shared" si="1"/>
        <v>high value</v>
      </c>
    </row>
    <row r="106" spans="1:3" x14ac:dyDescent="0.3">
      <c r="A106" s="41" t="str">
        <v>Steven Turner</v>
      </c>
      <c r="B106" s="41">
        <f>SUMIFS(Table1[Total_Amount],Table1[Customer_Name],A106)</f>
        <v>2649.83</v>
      </c>
      <c r="C106" s="41" t="str">
        <f t="shared" si="1"/>
        <v>high value</v>
      </c>
    </row>
    <row r="107" spans="1:3" x14ac:dyDescent="0.3">
      <c r="A107" s="41" t="str">
        <v>Emma Wilson</v>
      </c>
      <c r="B107" s="41">
        <f>SUMIFS(Table1[Total_Amount],Table1[Customer_Name],A107)</f>
        <v>1229.8800000000001</v>
      </c>
      <c r="C107" s="41" t="str">
        <f t="shared" si="1"/>
        <v>Normal</v>
      </c>
    </row>
    <row r="108" spans="1:3" x14ac:dyDescent="0.3">
      <c r="A108" s="41" t="str">
        <v>Jennifer Taylor</v>
      </c>
      <c r="B108" s="41">
        <f>SUMIFS(Table1[Total_Amount],Table1[Customer_Name],A108)</f>
        <v>4739.8500000000004</v>
      </c>
      <c r="C108" s="41" t="str">
        <f t="shared" si="1"/>
        <v>high value</v>
      </c>
    </row>
    <row r="109" spans="1:3" x14ac:dyDescent="0.3">
      <c r="A109" s="41" t="str">
        <v>Charles Allen</v>
      </c>
      <c r="B109" s="41">
        <f>SUMIFS(Table1[Total_Amount],Table1[Customer_Name],A109)</f>
        <v>5089.7300000000005</v>
      </c>
      <c r="C109" s="41" t="str">
        <f t="shared" si="1"/>
        <v>high value</v>
      </c>
    </row>
    <row r="110" spans="1:3" x14ac:dyDescent="0.3">
      <c r="A110" s="41" t="str">
        <v>Dorothy Nelson</v>
      </c>
      <c r="B110" s="41">
        <f>SUMIFS(Table1[Total_Amount],Table1[Customer_Name],A110)</f>
        <v>8269.7900000000009</v>
      </c>
      <c r="C110" s="41" t="str">
        <f t="shared" si="1"/>
        <v>high value</v>
      </c>
    </row>
    <row r="111" spans="1:3" x14ac:dyDescent="0.3">
      <c r="A111" s="41" t="str">
        <v>Kathleen Bennett</v>
      </c>
      <c r="B111" s="41">
        <f>SUMIFS(Table1[Total_Amount],Table1[Customer_Name],A111)</f>
        <v>4309.8099999999995</v>
      </c>
      <c r="C111" s="41" t="str">
        <f t="shared" si="1"/>
        <v>high value</v>
      </c>
    </row>
    <row r="112" spans="1:3" x14ac:dyDescent="0.3">
      <c r="A112" s="41" t="str">
        <v>Ruth Brooks</v>
      </c>
      <c r="B112" s="41">
        <f>SUMIFS(Table1[Total_Amount],Table1[Customer_Name],A112)</f>
        <v>1749.92</v>
      </c>
      <c r="C112" s="41" t="str">
        <f t="shared" si="1"/>
        <v>Normal</v>
      </c>
    </row>
    <row r="113" spans="1:3" x14ac:dyDescent="0.3">
      <c r="A113" s="41" t="str">
        <v>Karen Hill</v>
      </c>
      <c r="B113" s="41">
        <f>SUMIFS(Table1[Total_Amount],Table1[Customer_Name],A113)</f>
        <v>8009.7699999999995</v>
      </c>
      <c r="C113" s="41" t="str">
        <f t="shared" si="1"/>
        <v>high value</v>
      </c>
    </row>
    <row r="114" spans="1:3" x14ac:dyDescent="0.3">
      <c r="A114" s="41" t="str">
        <v>Sarah Davis</v>
      </c>
      <c r="B114" s="41">
        <f>SUMIFS(Table1[Total_Amount],Table1[Customer_Name],A114)</f>
        <v>5499.8099999999995</v>
      </c>
      <c r="C114" s="41" t="str">
        <f t="shared" si="1"/>
        <v>high value</v>
      </c>
    </row>
    <row r="115" spans="1:3" x14ac:dyDescent="0.3">
      <c r="A115" s="41" t="str">
        <v>Daniel King</v>
      </c>
      <c r="B115" s="41">
        <f>SUMIFS(Table1[Total_Amount],Table1[Customer_Name],A115)</f>
        <v>7309.7999999999993</v>
      </c>
      <c r="C115" s="41" t="str">
        <f t="shared" si="1"/>
        <v>high value</v>
      </c>
    </row>
    <row r="116" spans="1:3" x14ac:dyDescent="0.3">
      <c r="A116" s="41" t="str">
        <v>William White</v>
      </c>
      <c r="B116" s="41">
        <f>SUMIFS(Table1[Total_Amount],Table1[Customer_Name],A116)</f>
        <v>4749.91</v>
      </c>
      <c r="C116" s="41" t="str">
        <f t="shared" si="1"/>
        <v>high value</v>
      </c>
    </row>
    <row r="117" spans="1:3" x14ac:dyDescent="0.3">
      <c r="A117" s="41" t="str">
        <v>Peter Richardson</v>
      </c>
      <c r="B117" s="41">
        <f>SUMIFS(Table1[Total_Amount],Table1[Customer_Name],A117)</f>
        <v>5949.85</v>
      </c>
      <c r="C117" s="41" t="str">
        <f t="shared" si="1"/>
        <v>high value</v>
      </c>
    </row>
    <row r="118" spans="1:3" x14ac:dyDescent="0.3">
      <c r="A118" s="41" t="str">
        <v>Sandra Phillips</v>
      </c>
      <c r="B118" s="41">
        <f>SUMIFS(Table1[Total_Amount],Table1[Customer_Name],A118)</f>
        <v>6349.83</v>
      </c>
      <c r="C118" s="41" t="str">
        <f t="shared" si="1"/>
        <v>high value</v>
      </c>
    </row>
    <row r="119" spans="1:3" x14ac:dyDescent="0.3">
      <c r="A119" s="41" t="str">
        <v>Linda Martin</v>
      </c>
      <c r="B119" s="41">
        <f>SUMIFS(Table1[Total_Amount],Table1[Customer_Name],A119)</f>
        <v>1289.9000000000001</v>
      </c>
      <c r="C119" s="41" t="str">
        <f t="shared" si="1"/>
        <v>Normal</v>
      </c>
    </row>
    <row r="120" spans="1:3" x14ac:dyDescent="0.3">
      <c r="A120" s="41" t="str">
        <v>Patricia Moore</v>
      </c>
      <c r="B120" s="41">
        <f>SUMIFS(Table1[Total_Amount],Table1[Customer_Name],A120)</f>
        <v>9799.73</v>
      </c>
      <c r="C120" s="41" t="str">
        <f t="shared" si="1"/>
        <v>high value</v>
      </c>
    </row>
    <row r="121" spans="1:3" x14ac:dyDescent="0.3">
      <c r="A121" s="41" t="str">
        <v>Richard Lee</v>
      </c>
      <c r="B121" s="41">
        <f>SUMIFS(Table1[Total_Amount],Table1[Customer_Name],A121)</f>
        <v>739.93000000000006</v>
      </c>
      <c r="C121" s="41" t="str">
        <f t="shared" si="1"/>
        <v>Normal</v>
      </c>
    </row>
    <row r="122" spans="1:3" x14ac:dyDescent="0.3">
      <c r="A122" s="41" t="str">
        <v>Michael Brown</v>
      </c>
      <c r="B122" s="41">
        <f>SUMIFS(Table1[Total_Amount],Table1[Customer_Name],A122)</f>
        <v>6169.7400000000007</v>
      </c>
      <c r="C122" s="41" t="str">
        <f t="shared" si="1"/>
        <v>high value</v>
      </c>
    </row>
    <row r="123" spans="1:3" x14ac:dyDescent="0.3">
      <c r="A123" s="41" t="str">
        <v>Maria Garcia</v>
      </c>
      <c r="B123" s="41">
        <f>SUMIFS(Table1[Total_Amount],Table1[Customer_Name],A123)</f>
        <v>1909.93</v>
      </c>
      <c r="C123" s="41" t="str">
        <f t="shared" si="1"/>
        <v>Normal</v>
      </c>
    </row>
    <row r="124" spans="1:3" x14ac:dyDescent="0.3">
      <c r="A124" s="41" t="str">
        <v>Sandra Phillips</v>
      </c>
      <c r="B124" s="41">
        <f>SUMIFS(Table1[Total_Amount],Table1[Customer_Name],A124)</f>
        <v>6349.83</v>
      </c>
      <c r="C124" s="41" t="str">
        <f t="shared" si="1"/>
        <v>high value</v>
      </c>
    </row>
    <row r="125" spans="1:3" x14ac:dyDescent="0.3">
      <c r="A125" s="41" t="str">
        <v>Elizabeth Hall</v>
      </c>
      <c r="B125" s="41">
        <f>SUMIFS(Table1[Total_Amount],Table1[Customer_Name],A125)</f>
        <v>3649.8599999999997</v>
      </c>
      <c r="C125" s="41" t="str">
        <f t="shared" si="1"/>
        <v>high value</v>
      </c>
    </row>
    <row r="126" spans="1:3" x14ac:dyDescent="0.3">
      <c r="A126" s="41" t="str">
        <v>Carol Evans</v>
      </c>
      <c r="B126" s="41">
        <f>SUMIFS(Table1[Total_Amount],Table1[Customer_Name],A126)</f>
        <v>1149.93</v>
      </c>
      <c r="C126" s="41" t="str">
        <f t="shared" si="1"/>
        <v>Normal</v>
      </c>
    </row>
    <row r="127" spans="1:3" x14ac:dyDescent="0.3">
      <c r="A127" s="41" t="str">
        <v>Daniel King</v>
      </c>
      <c r="B127" s="41">
        <f>SUMIFS(Table1[Total_Amount],Table1[Customer_Name],A127)</f>
        <v>7309.7999999999993</v>
      </c>
      <c r="C127" s="41" t="str">
        <f t="shared" si="1"/>
        <v>high value</v>
      </c>
    </row>
    <row r="128" spans="1:3" x14ac:dyDescent="0.3">
      <c r="A128" s="41" t="str">
        <v>George Adams</v>
      </c>
      <c r="B128" s="41">
        <f>SUMIFS(Table1[Total_Amount],Table1[Customer_Name],A128)</f>
        <v>3779.93</v>
      </c>
      <c r="C128" s="41" t="str">
        <f t="shared" si="1"/>
        <v>high value</v>
      </c>
    </row>
    <row r="129" spans="1:3" x14ac:dyDescent="0.3">
      <c r="A129" s="41" t="str">
        <v>Barbara Young</v>
      </c>
      <c r="B129" s="41">
        <f>SUMIFS(Table1[Total_Amount],Table1[Customer_Name],A129)</f>
        <v>10649.8</v>
      </c>
      <c r="C129" s="41" t="str">
        <f t="shared" si="1"/>
        <v>high value</v>
      </c>
    </row>
    <row r="130" spans="1:3" x14ac:dyDescent="0.3">
      <c r="A130" s="41" t="str">
        <v>Raymond Ross</v>
      </c>
      <c r="B130" s="41">
        <f>SUMIFS(Table1[Total_Amount],Table1[Customer_Name],A130)</f>
        <v>3669.8500000000004</v>
      </c>
      <c r="C130" s="41" t="str">
        <f t="shared" si="1"/>
        <v>high value</v>
      </c>
    </row>
    <row r="131" spans="1:3" x14ac:dyDescent="0.3">
      <c r="A131" s="41" t="str">
        <v>Sharon Butler</v>
      </c>
      <c r="B131" s="41">
        <f>SUMIFS(Table1[Total_Amount],Table1[Customer_Name],A131)</f>
        <v>5619.869999999999</v>
      </c>
      <c r="C131" s="41" t="str">
        <f t="shared" ref="C131:C194" si="2">IF(B131&gt;2000,"high value","Normal")</f>
        <v>high value</v>
      </c>
    </row>
    <row r="132" spans="1:3" x14ac:dyDescent="0.3">
      <c r="A132" s="41" t="str">
        <v>Lawrence Reed</v>
      </c>
      <c r="B132" s="41">
        <f>SUMIFS(Table1[Total_Amount],Table1[Customer_Name],A132)</f>
        <v>6989.7699999999986</v>
      </c>
      <c r="C132" s="41" t="str">
        <f t="shared" si="2"/>
        <v>high value</v>
      </c>
    </row>
    <row r="133" spans="1:3" x14ac:dyDescent="0.3">
      <c r="A133" s="41" t="str">
        <v>Lawrence Reed</v>
      </c>
      <c r="B133" s="41">
        <f>SUMIFS(Table1[Total_Amount],Table1[Customer_Name],A133)</f>
        <v>6989.7699999999986</v>
      </c>
      <c r="C133" s="41" t="str">
        <f t="shared" si="2"/>
        <v>high value</v>
      </c>
    </row>
    <row r="134" spans="1:3" x14ac:dyDescent="0.3">
      <c r="A134" s="41" t="str">
        <v>Kathleen Bennett</v>
      </c>
      <c r="B134" s="41">
        <f>SUMIFS(Table1[Total_Amount],Table1[Customer_Name],A134)</f>
        <v>4309.8099999999995</v>
      </c>
      <c r="C134" s="41" t="str">
        <f t="shared" si="2"/>
        <v>high value</v>
      </c>
    </row>
    <row r="135" spans="1:3" x14ac:dyDescent="0.3">
      <c r="A135" s="41" t="str">
        <v>Sarah Davis</v>
      </c>
      <c r="B135" s="41">
        <f>SUMIFS(Table1[Total_Amount],Table1[Customer_Name],A135)</f>
        <v>5499.8099999999995</v>
      </c>
      <c r="C135" s="41" t="str">
        <f t="shared" si="2"/>
        <v>high value</v>
      </c>
    </row>
    <row r="136" spans="1:3" x14ac:dyDescent="0.3">
      <c r="A136" s="41" t="str">
        <v>Betty Campbell</v>
      </c>
      <c r="B136" s="41">
        <f>SUMIFS(Table1[Total_Amount],Table1[Customer_Name],A136)</f>
        <v>5649.84</v>
      </c>
      <c r="C136" s="41" t="str">
        <f t="shared" si="2"/>
        <v>high value</v>
      </c>
    </row>
    <row r="137" spans="1:3" x14ac:dyDescent="0.3">
      <c r="A137" s="41" t="str">
        <v>Raymond Ross</v>
      </c>
      <c r="B137" s="41">
        <f>SUMIFS(Table1[Total_Amount],Table1[Customer_Name],A137)</f>
        <v>3669.8500000000004</v>
      </c>
      <c r="C137" s="41" t="str">
        <f t="shared" si="2"/>
        <v>high value</v>
      </c>
    </row>
    <row r="138" spans="1:3" x14ac:dyDescent="0.3">
      <c r="A138" s="41" t="str">
        <v>Paul Baker</v>
      </c>
      <c r="B138" s="41">
        <f>SUMIFS(Table1[Total_Amount],Table1[Customer_Name],A138)</f>
        <v>8309.739999999998</v>
      </c>
      <c r="C138" s="41" t="str">
        <f t="shared" si="2"/>
        <v>high value</v>
      </c>
    </row>
    <row r="139" spans="1:3" x14ac:dyDescent="0.3">
      <c r="A139" s="41" t="str">
        <v>Karen Hill</v>
      </c>
      <c r="B139" s="41">
        <f>SUMIFS(Table1[Total_Amount],Table1[Customer_Name],A139)</f>
        <v>8009.7699999999995</v>
      </c>
      <c r="C139" s="41" t="str">
        <f t="shared" si="2"/>
        <v>high value</v>
      </c>
    </row>
    <row r="140" spans="1:3" x14ac:dyDescent="0.3">
      <c r="A140" s="41" t="str">
        <v>Patricia Moore</v>
      </c>
      <c r="B140" s="41">
        <f>SUMIFS(Table1[Total_Amount],Table1[Customer_Name],A140)</f>
        <v>9799.73</v>
      </c>
      <c r="C140" s="41" t="str">
        <f t="shared" si="2"/>
        <v>high value</v>
      </c>
    </row>
    <row r="141" spans="1:3" x14ac:dyDescent="0.3">
      <c r="A141" s="41" t="str">
        <v>Maria Garcia</v>
      </c>
      <c r="B141" s="41">
        <f>SUMIFS(Table1[Total_Amount],Table1[Customer_Name],A141)</f>
        <v>1909.93</v>
      </c>
      <c r="C141" s="41" t="str">
        <f t="shared" si="2"/>
        <v>Normal</v>
      </c>
    </row>
    <row r="142" spans="1:3" x14ac:dyDescent="0.3">
      <c r="A142" s="41" t="str">
        <v>Margaret Wright</v>
      </c>
      <c r="B142" s="41">
        <f>SUMIFS(Table1[Total_Amount],Table1[Customer_Name],A142)</f>
        <v>2099.88</v>
      </c>
      <c r="C142" s="41" t="str">
        <f t="shared" si="2"/>
        <v>high value</v>
      </c>
    </row>
    <row r="143" spans="1:3" x14ac:dyDescent="0.3">
      <c r="A143" s="41" t="str">
        <v>Peter Richardson</v>
      </c>
      <c r="B143" s="41">
        <f>SUMIFS(Table1[Total_Amount],Table1[Customer_Name],A143)</f>
        <v>5949.85</v>
      </c>
      <c r="C143" s="41" t="str">
        <f t="shared" si="2"/>
        <v>high value</v>
      </c>
    </row>
    <row r="144" spans="1:3" x14ac:dyDescent="0.3">
      <c r="A144" s="41" t="str">
        <v>Paul Baker</v>
      </c>
      <c r="B144" s="41">
        <f>SUMIFS(Table1[Total_Amount],Table1[Customer_Name],A144)</f>
        <v>8309.739999999998</v>
      </c>
      <c r="C144" s="41" t="str">
        <f t="shared" si="2"/>
        <v>high value</v>
      </c>
    </row>
    <row r="145" spans="1:3" x14ac:dyDescent="0.3">
      <c r="A145" s="41" t="str">
        <v>Patricia Moore</v>
      </c>
      <c r="B145" s="41">
        <f>SUMIFS(Table1[Total_Amount],Table1[Customer_Name],A145)</f>
        <v>9799.73</v>
      </c>
      <c r="C145" s="41" t="str">
        <f t="shared" si="2"/>
        <v>high value</v>
      </c>
    </row>
    <row r="146" spans="1:3" x14ac:dyDescent="0.3">
      <c r="A146" s="41" t="str">
        <v>Sarah Davis</v>
      </c>
      <c r="B146" s="41">
        <f>SUMIFS(Table1[Total_Amount],Table1[Customer_Name],A146)</f>
        <v>5499.8099999999995</v>
      </c>
      <c r="C146" s="41" t="str">
        <f t="shared" si="2"/>
        <v>high value</v>
      </c>
    </row>
    <row r="147" spans="1:3" x14ac:dyDescent="0.3">
      <c r="A147" s="41" t="str">
        <v>George Adams</v>
      </c>
      <c r="B147" s="41">
        <f>SUMIFS(Table1[Total_Amount],Table1[Customer_Name],A147)</f>
        <v>3779.93</v>
      </c>
      <c r="C147" s="41" t="str">
        <f t="shared" si="2"/>
        <v>high value</v>
      </c>
    </row>
    <row r="148" spans="1:3" x14ac:dyDescent="0.3">
      <c r="A148" s="41" t="str">
        <v>Sandra Phillips</v>
      </c>
      <c r="B148" s="41">
        <f>SUMIFS(Table1[Total_Amount],Table1[Customer_Name],A148)</f>
        <v>6349.83</v>
      </c>
      <c r="C148" s="41" t="str">
        <f t="shared" si="2"/>
        <v>high value</v>
      </c>
    </row>
    <row r="149" spans="1:3" x14ac:dyDescent="0.3">
      <c r="A149" s="41" t="str">
        <v>Mark Carter</v>
      </c>
      <c r="B149" s="41">
        <f>SUMIFS(Table1[Total_Amount],Table1[Customer_Name],A149)</f>
        <v>15659.65</v>
      </c>
      <c r="C149" s="41" t="str">
        <f t="shared" si="2"/>
        <v>high value</v>
      </c>
    </row>
    <row r="150" spans="1:3" x14ac:dyDescent="0.3">
      <c r="A150" s="41" t="str">
        <v>Edward Mitchell</v>
      </c>
      <c r="B150" s="41">
        <f>SUMIFS(Table1[Total_Amount],Table1[Customer_Name],A150)</f>
        <v>11919.769999999999</v>
      </c>
      <c r="C150" s="41" t="str">
        <f t="shared" si="2"/>
        <v>high value</v>
      </c>
    </row>
    <row r="151" spans="1:3" x14ac:dyDescent="0.3">
      <c r="A151" s="41" t="str">
        <v>Frank Torres</v>
      </c>
      <c r="B151" s="41">
        <f>SUMIFS(Table1[Total_Amount],Table1[Customer_Name],A151)</f>
        <v>1479.91</v>
      </c>
      <c r="C151" s="41" t="str">
        <f t="shared" si="2"/>
        <v>Normal</v>
      </c>
    </row>
    <row r="152" spans="1:3" x14ac:dyDescent="0.3">
      <c r="A152" s="41" t="str">
        <v>Sarah Davis</v>
      </c>
      <c r="B152" s="41">
        <f>SUMIFS(Table1[Total_Amount],Table1[Customer_Name],A152)</f>
        <v>5499.8099999999995</v>
      </c>
      <c r="C152" s="41" t="str">
        <f t="shared" si="2"/>
        <v>high value</v>
      </c>
    </row>
    <row r="153" spans="1:3" x14ac:dyDescent="0.3">
      <c r="A153" s="41" t="str">
        <v>Douglas Watson</v>
      </c>
      <c r="B153" s="41">
        <f>SUMIFS(Table1[Total_Amount],Table1[Customer_Name],A153)</f>
        <v>4829.8899999999994</v>
      </c>
      <c r="C153" s="41" t="str">
        <f t="shared" si="2"/>
        <v>high value</v>
      </c>
    </row>
    <row r="154" spans="1:3" x14ac:dyDescent="0.3">
      <c r="A154" s="41" t="str">
        <v>Linda Martin</v>
      </c>
      <c r="B154" s="41">
        <f>SUMIFS(Table1[Total_Amount],Table1[Customer_Name],A154)</f>
        <v>1289.9000000000001</v>
      </c>
      <c r="C154" s="41" t="str">
        <f t="shared" si="2"/>
        <v>Normal</v>
      </c>
    </row>
    <row r="155" spans="1:3" x14ac:dyDescent="0.3">
      <c r="A155" s="41" t="str">
        <v>Kevin Scott</v>
      </c>
      <c r="B155" s="41">
        <f>SUMIFS(Table1[Total_Amount],Table1[Customer_Name],A155)</f>
        <v>3259.87</v>
      </c>
      <c r="C155" s="41" t="str">
        <f t="shared" si="2"/>
        <v>high value</v>
      </c>
    </row>
    <row r="156" spans="1:3" x14ac:dyDescent="0.3">
      <c r="A156" s="41" t="str">
        <v>Charles Allen</v>
      </c>
      <c r="B156" s="41">
        <f>SUMIFS(Table1[Total_Amount],Table1[Customer_Name],A156)</f>
        <v>5089.7300000000005</v>
      </c>
      <c r="C156" s="41" t="str">
        <f t="shared" si="2"/>
        <v>high value</v>
      </c>
    </row>
    <row r="157" spans="1:3" x14ac:dyDescent="0.3">
      <c r="A157" s="41" t="str">
        <v>Joseph Jackson</v>
      </c>
      <c r="B157" s="41">
        <f>SUMIFS(Table1[Total_Amount],Table1[Customer_Name],A157)</f>
        <v>6949.84</v>
      </c>
      <c r="C157" s="41" t="str">
        <f t="shared" si="2"/>
        <v>high value</v>
      </c>
    </row>
    <row r="158" spans="1:3" x14ac:dyDescent="0.3">
      <c r="A158" s="41" t="str">
        <v>Mark Carter</v>
      </c>
      <c r="B158" s="41">
        <f>SUMIFS(Table1[Total_Amount],Table1[Customer_Name],A158)</f>
        <v>15659.65</v>
      </c>
      <c r="C158" s="41" t="str">
        <f t="shared" si="2"/>
        <v>high value</v>
      </c>
    </row>
    <row r="159" spans="1:3" x14ac:dyDescent="0.3">
      <c r="A159" s="41" t="str">
        <v>William White</v>
      </c>
      <c r="B159" s="41">
        <f>SUMIFS(Table1[Total_Amount],Table1[Customer_Name],A159)</f>
        <v>4749.91</v>
      </c>
      <c r="C159" s="41" t="str">
        <f t="shared" si="2"/>
        <v>high value</v>
      </c>
    </row>
    <row r="160" spans="1:3" x14ac:dyDescent="0.3">
      <c r="A160" s="41" t="str">
        <v>Dorothy Nelson</v>
      </c>
      <c r="B160" s="41">
        <f>SUMIFS(Table1[Total_Amount],Table1[Customer_Name],A160)</f>
        <v>8269.7900000000009</v>
      </c>
      <c r="C160" s="41" t="str">
        <f t="shared" si="2"/>
        <v>high value</v>
      </c>
    </row>
    <row r="161" spans="1:3" x14ac:dyDescent="0.3">
      <c r="A161" s="41" t="str">
        <v>Nancy Collins</v>
      </c>
      <c r="B161" s="41">
        <f>SUMIFS(Table1[Total_Amount],Table1[Customer_Name],A161)</f>
        <v>4189.7700000000004</v>
      </c>
      <c r="C161" s="41" t="str">
        <f t="shared" si="2"/>
        <v>high value</v>
      </c>
    </row>
    <row r="162" spans="1:3" x14ac:dyDescent="0.3">
      <c r="A162" s="41" t="str">
        <v>James Johnson</v>
      </c>
      <c r="B162" s="41">
        <f>SUMIFS(Table1[Total_Amount],Table1[Customer_Name],A162)</f>
        <v>179.97</v>
      </c>
      <c r="C162" s="41" t="str">
        <f t="shared" si="2"/>
        <v>Normal</v>
      </c>
    </row>
    <row r="163" spans="1:3" x14ac:dyDescent="0.3">
      <c r="A163" s="41" t="str">
        <v>Jennifer Taylor</v>
      </c>
      <c r="B163" s="41">
        <f>SUMIFS(Table1[Total_Amount],Table1[Customer_Name],A163)</f>
        <v>4739.8500000000004</v>
      </c>
      <c r="C163" s="41" t="str">
        <f t="shared" si="2"/>
        <v>high value</v>
      </c>
    </row>
    <row r="164" spans="1:3" x14ac:dyDescent="0.3">
      <c r="A164" s="41" t="str">
        <v>Helen Roberts</v>
      </c>
      <c r="B164" s="41">
        <f>SUMIFS(Table1[Total_Amount],Table1[Customer_Name],A164)</f>
        <v>6459.79</v>
      </c>
      <c r="C164" s="41" t="str">
        <f t="shared" si="2"/>
        <v>high value</v>
      </c>
    </row>
    <row r="165" spans="1:3" x14ac:dyDescent="0.3">
      <c r="A165" s="41" t="str">
        <v>Peter Richardson</v>
      </c>
      <c r="B165" s="41">
        <f>SUMIFS(Table1[Total_Amount],Table1[Customer_Name],A165)</f>
        <v>5949.85</v>
      </c>
      <c r="C165" s="41" t="str">
        <f t="shared" si="2"/>
        <v>high value</v>
      </c>
    </row>
    <row r="166" spans="1:3" x14ac:dyDescent="0.3">
      <c r="A166" s="41" t="str">
        <v>David Martinez</v>
      </c>
      <c r="B166" s="41">
        <f>SUMIFS(Table1[Total_Amount],Table1[Customer_Name],A166)</f>
        <v>1809.84</v>
      </c>
      <c r="C166" s="41" t="str">
        <f t="shared" si="2"/>
        <v>Normal</v>
      </c>
    </row>
    <row r="167" spans="1:3" x14ac:dyDescent="0.3">
      <c r="A167" s="41" t="str">
        <v>Steven Turner</v>
      </c>
      <c r="B167" s="41">
        <f>SUMIFS(Table1[Total_Amount],Table1[Customer_Name],A167)</f>
        <v>2649.83</v>
      </c>
      <c r="C167" s="41" t="str">
        <f t="shared" si="2"/>
        <v>high value</v>
      </c>
    </row>
    <row r="168" spans="1:3" x14ac:dyDescent="0.3">
      <c r="A168" s="41" t="str">
        <v>Emma Wilson</v>
      </c>
      <c r="B168" s="41">
        <f>SUMIFS(Table1[Total_Amount],Table1[Customer_Name],A168)</f>
        <v>1229.8800000000001</v>
      </c>
      <c r="C168" s="41" t="str">
        <f t="shared" si="2"/>
        <v>Normal</v>
      </c>
    </row>
    <row r="169" spans="1:3" x14ac:dyDescent="0.3">
      <c r="A169" s="41" t="str">
        <v>David Martinez</v>
      </c>
      <c r="B169" s="41">
        <f>SUMIFS(Table1[Total_Amount],Table1[Customer_Name],A169)</f>
        <v>1809.84</v>
      </c>
      <c r="C169" s="41" t="str">
        <f t="shared" si="2"/>
        <v>Normal</v>
      </c>
    </row>
    <row r="170" spans="1:3" x14ac:dyDescent="0.3">
      <c r="A170" s="41" t="str">
        <v>Daniel King</v>
      </c>
      <c r="B170" s="41">
        <f>SUMIFS(Table1[Total_Amount],Table1[Customer_Name],A170)</f>
        <v>7309.7999999999993</v>
      </c>
      <c r="C170" s="41" t="str">
        <f t="shared" si="2"/>
        <v>high value</v>
      </c>
    </row>
    <row r="171" spans="1:3" x14ac:dyDescent="0.3">
      <c r="A171" s="41" t="str">
        <v>Michael Brown</v>
      </c>
      <c r="B171" s="41">
        <f>SUMIFS(Table1[Total_Amount],Table1[Customer_Name],A171)</f>
        <v>6169.7400000000007</v>
      </c>
      <c r="C171" s="41" t="str">
        <f t="shared" si="2"/>
        <v>high value</v>
      </c>
    </row>
    <row r="172" spans="1:3" x14ac:dyDescent="0.3">
      <c r="A172" s="41" t="str">
        <v>Linda Martin</v>
      </c>
      <c r="B172" s="41">
        <f>SUMIFS(Table1[Total_Amount],Table1[Customer_Name],A172)</f>
        <v>1289.9000000000001</v>
      </c>
      <c r="C172" s="41" t="str">
        <f t="shared" si="2"/>
        <v>Normal</v>
      </c>
    </row>
    <row r="173" spans="1:3" x14ac:dyDescent="0.3">
      <c r="A173" s="41" t="str">
        <v>David Martinez</v>
      </c>
      <c r="B173" s="41">
        <f>SUMIFS(Table1[Total_Amount],Table1[Customer_Name],A173)</f>
        <v>1809.84</v>
      </c>
      <c r="C173" s="41" t="str">
        <f t="shared" si="2"/>
        <v>Normal</v>
      </c>
    </row>
    <row r="174" spans="1:3" x14ac:dyDescent="0.3">
      <c r="A174" s="41" t="str">
        <v>Kevin Scott</v>
      </c>
      <c r="B174" s="41">
        <f>SUMIFS(Table1[Total_Amount],Table1[Customer_Name],A174)</f>
        <v>3259.87</v>
      </c>
      <c r="C174" s="41" t="str">
        <f t="shared" si="2"/>
        <v>high value</v>
      </c>
    </row>
    <row r="175" spans="1:3" x14ac:dyDescent="0.3">
      <c r="A175" s="41" t="str">
        <v>Michael Brown</v>
      </c>
      <c r="B175" s="41">
        <f>SUMIFS(Table1[Total_Amount],Table1[Customer_Name],A175)</f>
        <v>6169.7400000000007</v>
      </c>
      <c r="C175" s="41" t="str">
        <f t="shared" si="2"/>
        <v>high value</v>
      </c>
    </row>
    <row r="176" spans="1:3" x14ac:dyDescent="0.3">
      <c r="A176" s="41" t="str">
        <v>Helen Roberts</v>
      </c>
      <c r="B176" s="41">
        <f>SUMIFS(Table1[Total_Amount],Table1[Customer_Name],A176)</f>
        <v>6459.79</v>
      </c>
      <c r="C176" s="41" t="str">
        <f t="shared" si="2"/>
        <v>high value</v>
      </c>
    </row>
    <row r="177" spans="1:3" x14ac:dyDescent="0.3">
      <c r="A177" s="41" t="str">
        <v>Robert Thomas</v>
      </c>
      <c r="B177" s="41">
        <f>SUMIFS(Table1[Total_Amount],Table1[Customer_Name],A177)</f>
        <v>3509.8999999999996</v>
      </c>
      <c r="C177" s="41" t="str">
        <f t="shared" si="2"/>
        <v>high value</v>
      </c>
    </row>
    <row r="178" spans="1:3" x14ac:dyDescent="0.3">
      <c r="A178" s="41" t="str">
        <v>Nancy Collins</v>
      </c>
      <c r="B178" s="41">
        <f>SUMIFS(Table1[Total_Amount],Table1[Customer_Name],A178)</f>
        <v>4189.7700000000004</v>
      </c>
      <c r="C178" s="41" t="str">
        <f t="shared" si="2"/>
        <v>high value</v>
      </c>
    </row>
    <row r="179" spans="1:3" x14ac:dyDescent="0.3">
      <c r="A179" s="41" t="str">
        <v>Mark Carter</v>
      </c>
      <c r="B179" s="41">
        <f>SUMIFS(Table1[Total_Amount],Table1[Customer_Name],A179)</f>
        <v>15659.65</v>
      </c>
      <c r="C179" s="41" t="str">
        <f t="shared" si="2"/>
        <v>high value</v>
      </c>
    </row>
    <row r="180" spans="1:3" x14ac:dyDescent="0.3">
      <c r="A180" s="41" t="str">
        <v>Daniel King</v>
      </c>
      <c r="B180" s="41">
        <f>SUMIFS(Table1[Total_Amount],Table1[Customer_Name],A180)</f>
        <v>7309.7999999999993</v>
      </c>
      <c r="C180" s="41" t="str">
        <f t="shared" si="2"/>
        <v>high value</v>
      </c>
    </row>
    <row r="181" spans="1:3" x14ac:dyDescent="0.3">
      <c r="A181" s="41" t="str">
        <v>Arthur Edwards</v>
      </c>
      <c r="B181" s="41">
        <f>SUMIFS(Table1[Total_Amount],Table1[Customer_Name],A181)</f>
        <v>1559.94</v>
      </c>
      <c r="C181" s="41" t="str">
        <f t="shared" si="2"/>
        <v>Normal</v>
      </c>
    </row>
    <row r="182" spans="1:3" x14ac:dyDescent="0.3">
      <c r="A182" s="41" t="str">
        <v>Lisa Anderson</v>
      </c>
      <c r="B182" s="41">
        <f>SUMIFS(Table1[Total_Amount],Table1[Customer_Name],A182)</f>
        <v>2039.8000000000002</v>
      </c>
      <c r="C182" s="41" t="str">
        <f t="shared" si="2"/>
        <v>high value</v>
      </c>
    </row>
    <row r="183" spans="1:3" x14ac:dyDescent="0.3">
      <c r="A183" s="41" t="str">
        <v>Michael Brown</v>
      </c>
      <c r="B183" s="41">
        <f>SUMIFS(Table1[Total_Amount],Table1[Customer_Name],A183)</f>
        <v>6169.7400000000007</v>
      </c>
      <c r="C183" s="41" t="str">
        <f t="shared" si="2"/>
        <v>high value</v>
      </c>
    </row>
    <row r="184" spans="1:3" x14ac:dyDescent="0.3">
      <c r="A184" s="41" t="str">
        <v>Karen Hill</v>
      </c>
      <c r="B184" s="41">
        <f>SUMIFS(Table1[Total_Amount],Table1[Customer_Name],A184)</f>
        <v>8009.7699999999995</v>
      </c>
      <c r="C184" s="41" t="str">
        <f t="shared" si="2"/>
        <v>high value</v>
      </c>
    </row>
    <row r="185" spans="1:3" x14ac:dyDescent="0.3">
      <c r="A185" s="41" t="str">
        <v>Nancy Collins</v>
      </c>
      <c r="B185" s="41">
        <f>SUMIFS(Table1[Total_Amount],Table1[Customer_Name],A185)</f>
        <v>4189.7700000000004</v>
      </c>
      <c r="C185" s="41" t="str">
        <f t="shared" si="2"/>
        <v>high value</v>
      </c>
    </row>
    <row r="186" spans="1:3" x14ac:dyDescent="0.3">
      <c r="A186" s="41" t="str">
        <v>Virginia Sanders</v>
      </c>
      <c r="B186" s="41">
        <f>SUMIFS(Table1[Total_Amount],Table1[Customer_Name],A186)</f>
        <v>4789.7900000000009</v>
      </c>
      <c r="C186" s="41" t="str">
        <f t="shared" si="2"/>
        <v>high value</v>
      </c>
    </row>
    <row r="187" spans="1:3" x14ac:dyDescent="0.3">
      <c r="A187" s="41" t="str">
        <v>Steven Turner</v>
      </c>
      <c r="B187" s="41">
        <f>SUMIFS(Table1[Total_Amount],Table1[Customer_Name],A187)</f>
        <v>2649.83</v>
      </c>
      <c r="C187" s="41" t="str">
        <f t="shared" si="2"/>
        <v>high value</v>
      </c>
    </row>
    <row r="188" spans="1:3" x14ac:dyDescent="0.3">
      <c r="A188" s="41" t="str">
        <v>Michelle Rogers</v>
      </c>
      <c r="B188" s="41">
        <f>SUMIFS(Table1[Total_Amount],Table1[Customer_Name],A188)</f>
        <v>4199.9399999999996</v>
      </c>
      <c r="C188" s="41" t="str">
        <f t="shared" si="2"/>
        <v>high value</v>
      </c>
    </row>
    <row r="189" spans="1:3" x14ac:dyDescent="0.3">
      <c r="A189" s="41" t="str">
        <v>Douglas Watson</v>
      </c>
      <c r="B189" s="41">
        <f>SUMIFS(Table1[Total_Amount],Table1[Customer_Name],A189)</f>
        <v>4829.8899999999994</v>
      </c>
      <c r="C189" s="41" t="str">
        <f t="shared" si="2"/>
        <v>high value</v>
      </c>
    </row>
    <row r="190" spans="1:3" x14ac:dyDescent="0.3">
      <c r="A190" s="41" t="str">
        <v>Mark Carter</v>
      </c>
      <c r="B190" s="41">
        <f>SUMIFS(Table1[Total_Amount],Table1[Customer_Name],A190)</f>
        <v>15659.65</v>
      </c>
      <c r="C190" s="41" t="str">
        <f t="shared" si="2"/>
        <v>high value</v>
      </c>
    </row>
    <row r="191" spans="1:3" x14ac:dyDescent="0.3">
      <c r="A191" s="41" t="str">
        <v>Betty Campbell</v>
      </c>
      <c r="B191" s="41">
        <f>SUMIFS(Table1[Total_Amount],Table1[Customer_Name],A191)</f>
        <v>5649.84</v>
      </c>
      <c r="C191" s="41" t="str">
        <f t="shared" si="2"/>
        <v>high value</v>
      </c>
    </row>
    <row r="192" spans="1:3" x14ac:dyDescent="0.3">
      <c r="A192" s="41" t="str">
        <v>Helen Roberts</v>
      </c>
      <c r="B192" s="41">
        <f>SUMIFS(Table1[Total_Amount],Table1[Customer_Name],A192)</f>
        <v>6459.79</v>
      </c>
      <c r="C192" s="41" t="str">
        <f t="shared" si="2"/>
        <v>high value</v>
      </c>
    </row>
    <row r="193" spans="1:3" x14ac:dyDescent="0.3">
      <c r="A193" s="41" t="str">
        <v>Sandra Phillips</v>
      </c>
      <c r="B193" s="41">
        <f>SUMIFS(Table1[Total_Amount],Table1[Customer_Name],A193)</f>
        <v>6349.83</v>
      </c>
      <c r="C193" s="41" t="str">
        <f t="shared" si="2"/>
        <v>high value</v>
      </c>
    </row>
    <row r="194" spans="1:3" x14ac:dyDescent="0.3">
      <c r="A194" s="41" t="str">
        <v>Lawrence Reed</v>
      </c>
      <c r="B194" s="41">
        <f>SUMIFS(Table1[Total_Amount],Table1[Customer_Name],A194)</f>
        <v>6989.7699999999986</v>
      </c>
      <c r="C194" s="41" t="str">
        <f t="shared" si="2"/>
        <v>high value</v>
      </c>
    </row>
    <row r="195" spans="1:3" x14ac:dyDescent="0.3">
      <c r="A195" s="41" t="str">
        <v>Elizabeth Hall</v>
      </c>
      <c r="B195" s="41">
        <f>SUMIFS(Table1[Total_Amount],Table1[Customer_Name],A195)</f>
        <v>3649.8599999999997</v>
      </c>
      <c r="C195" s="41" t="str">
        <f t="shared" ref="C195:C251" si="3">IF(B195&gt;2000,"high value","Normal")</f>
        <v>high value</v>
      </c>
    </row>
    <row r="196" spans="1:3" x14ac:dyDescent="0.3">
      <c r="A196" s="41" t="str">
        <v>Robert Thomas</v>
      </c>
      <c r="B196" s="41">
        <f>SUMIFS(Table1[Total_Amount],Table1[Customer_Name],A196)</f>
        <v>3509.8999999999996</v>
      </c>
      <c r="C196" s="41" t="str">
        <f t="shared" si="3"/>
        <v>high value</v>
      </c>
    </row>
    <row r="197" spans="1:3" x14ac:dyDescent="0.3">
      <c r="A197" s="41" t="str">
        <v>Lisa Anderson</v>
      </c>
      <c r="B197" s="41">
        <f>SUMIFS(Table1[Total_Amount],Table1[Customer_Name],A197)</f>
        <v>2039.8000000000002</v>
      </c>
      <c r="C197" s="41" t="str">
        <f t="shared" si="3"/>
        <v>high value</v>
      </c>
    </row>
    <row r="198" spans="1:3" x14ac:dyDescent="0.3">
      <c r="A198" s="41" t="str">
        <v>Susan Green</v>
      </c>
      <c r="B198" s="41">
        <f>SUMIFS(Table1[Total_Amount],Table1[Customer_Name],A198)</f>
        <v>1979.89</v>
      </c>
      <c r="C198" s="41" t="str">
        <f t="shared" si="3"/>
        <v>Normal</v>
      </c>
    </row>
    <row r="199" spans="1:3" x14ac:dyDescent="0.3">
      <c r="A199" s="41" t="str">
        <v>Dorothy Nelson</v>
      </c>
      <c r="B199" s="41">
        <f>SUMIFS(Table1[Total_Amount],Table1[Customer_Name],A199)</f>
        <v>8269.7900000000009</v>
      </c>
      <c r="C199" s="41" t="str">
        <f t="shared" si="3"/>
        <v>high value</v>
      </c>
    </row>
    <row r="200" spans="1:3" x14ac:dyDescent="0.3">
      <c r="A200" s="41" t="str">
        <v>William White</v>
      </c>
      <c r="B200" s="41">
        <f>SUMIFS(Table1[Total_Amount],Table1[Customer_Name],A200)</f>
        <v>4749.91</v>
      </c>
      <c r="C200" s="41" t="str">
        <f t="shared" si="3"/>
        <v>high value</v>
      </c>
    </row>
    <row r="201" spans="1:3" x14ac:dyDescent="0.3">
      <c r="A201" s="41" t="str">
        <v>Mark Carter</v>
      </c>
      <c r="B201" s="41">
        <f>SUMIFS(Table1[Total_Amount],Table1[Customer_Name],A201)</f>
        <v>15659.65</v>
      </c>
      <c r="C201" s="41" t="str">
        <f t="shared" si="3"/>
        <v>high value</v>
      </c>
    </row>
    <row r="202" spans="1:3" x14ac:dyDescent="0.3">
      <c r="A202" s="41" t="str">
        <v>Douglas Watson</v>
      </c>
      <c r="B202" s="41">
        <f>SUMIFS(Table1[Total_Amount],Table1[Customer_Name],A202)</f>
        <v>4829.8899999999994</v>
      </c>
      <c r="C202" s="41" t="str">
        <f t="shared" si="3"/>
        <v>high value</v>
      </c>
    </row>
    <row r="203" spans="1:3" x14ac:dyDescent="0.3">
      <c r="A203" s="41" t="str">
        <v>Karen Hill</v>
      </c>
      <c r="B203" s="41">
        <f>SUMIFS(Table1[Total_Amount],Table1[Customer_Name],A203)</f>
        <v>8009.7699999999995</v>
      </c>
      <c r="C203" s="41" t="str">
        <f t="shared" si="3"/>
        <v>high value</v>
      </c>
    </row>
    <row r="204" spans="1:3" x14ac:dyDescent="0.3">
      <c r="A204" s="41" t="str">
        <v>Edward Mitchell</v>
      </c>
      <c r="B204" s="41">
        <f>SUMIFS(Table1[Total_Amount],Table1[Customer_Name],A204)</f>
        <v>11919.769999999999</v>
      </c>
      <c r="C204" s="41" t="str">
        <f t="shared" si="3"/>
        <v>high value</v>
      </c>
    </row>
    <row r="205" spans="1:3" x14ac:dyDescent="0.3">
      <c r="A205" s="41" t="str">
        <v>Michael Brown</v>
      </c>
      <c r="B205" s="41">
        <f>SUMIFS(Table1[Total_Amount],Table1[Customer_Name],A205)</f>
        <v>6169.7400000000007</v>
      </c>
      <c r="C205" s="41" t="str">
        <f t="shared" si="3"/>
        <v>high value</v>
      </c>
    </row>
    <row r="206" spans="1:3" x14ac:dyDescent="0.3">
      <c r="A206" s="41" t="str">
        <v>Arthur Edwards</v>
      </c>
      <c r="B206" s="41">
        <f>SUMIFS(Table1[Total_Amount],Table1[Customer_Name],A206)</f>
        <v>1559.94</v>
      </c>
      <c r="C206" s="41" t="str">
        <f t="shared" si="3"/>
        <v>Normal</v>
      </c>
    </row>
    <row r="207" spans="1:3" x14ac:dyDescent="0.3">
      <c r="A207" s="41" t="str">
        <v>Ruth Brooks</v>
      </c>
      <c r="B207" s="41">
        <f>SUMIFS(Table1[Total_Amount],Table1[Customer_Name],A207)</f>
        <v>1749.92</v>
      </c>
      <c r="C207" s="41" t="str">
        <f t="shared" si="3"/>
        <v>Normal</v>
      </c>
    </row>
    <row r="208" spans="1:3" x14ac:dyDescent="0.3">
      <c r="A208" s="41" t="str">
        <v>Virginia Sanders</v>
      </c>
      <c r="B208" s="41">
        <f>SUMIFS(Table1[Total_Amount],Table1[Customer_Name],A208)</f>
        <v>4789.7900000000009</v>
      </c>
      <c r="C208" s="41" t="str">
        <f t="shared" si="3"/>
        <v>high value</v>
      </c>
    </row>
    <row r="209" spans="1:3" x14ac:dyDescent="0.3">
      <c r="A209" s="41" t="str">
        <v>Sharon Butler</v>
      </c>
      <c r="B209" s="41">
        <f>SUMIFS(Table1[Total_Amount],Table1[Customer_Name],A209)</f>
        <v>5619.869999999999</v>
      </c>
      <c r="C209" s="41" t="str">
        <f t="shared" si="3"/>
        <v>high value</v>
      </c>
    </row>
    <row r="210" spans="1:3" x14ac:dyDescent="0.3">
      <c r="A210" s="41" t="str">
        <v>Nancy Collins</v>
      </c>
      <c r="B210" s="41">
        <f>SUMIFS(Table1[Total_Amount],Table1[Customer_Name],A210)</f>
        <v>4189.7700000000004</v>
      </c>
      <c r="C210" s="41" t="str">
        <f t="shared" si="3"/>
        <v>high value</v>
      </c>
    </row>
    <row r="211" spans="1:3" x14ac:dyDescent="0.3">
      <c r="A211" s="41" t="str">
        <v>Kevin Scott</v>
      </c>
      <c r="B211" s="41">
        <f>SUMIFS(Table1[Total_Amount],Table1[Customer_Name],A211)</f>
        <v>3259.87</v>
      </c>
      <c r="C211" s="41" t="str">
        <f t="shared" si="3"/>
        <v>high value</v>
      </c>
    </row>
    <row r="212" spans="1:3" x14ac:dyDescent="0.3">
      <c r="A212" s="41" t="str">
        <v>Paul Baker</v>
      </c>
      <c r="B212" s="41">
        <f>SUMIFS(Table1[Total_Amount],Table1[Customer_Name],A212)</f>
        <v>8309.739999999998</v>
      </c>
      <c r="C212" s="41" t="str">
        <f t="shared" si="3"/>
        <v>high value</v>
      </c>
    </row>
    <row r="213" spans="1:3" x14ac:dyDescent="0.3">
      <c r="A213" s="41" t="str">
        <v>Richard Lee</v>
      </c>
      <c r="B213" s="41">
        <f>SUMIFS(Table1[Total_Amount],Table1[Customer_Name],A213)</f>
        <v>739.93000000000006</v>
      </c>
      <c r="C213" s="41" t="str">
        <f t="shared" si="3"/>
        <v>Normal</v>
      </c>
    </row>
    <row r="214" spans="1:3" x14ac:dyDescent="0.3">
      <c r="A214" s="41" t="str">
        <v>Edward Mitchell</v>
      </c>
      <c r="B214" s="41">
        <f>SUMIFS(Table1[Total_Amount],Table1[Customer_Name],A214)</f>
        <v>11919.769999999999</v>
      </c>
      <c r="C214" s="41" t="str">
        <f t="shared" si="3"/>
        <v>high value</v>
      </c>
    </row>
    <row r="215" spans="1:3" x14ac:dyDescent="0.3">
      <c r="A215" s="41" t="str">
        <v>Michael Brown</v>
      </c>
      <c r="B215" s="41">
        <f>SUMIFS(Table1[Total_Amount],Table1[Customer_Name],A215)</f>
        <v>6169.7400000000007</v>
      </c>
      <c r="C215" s="41" t="str">
        <f t="shared" si="3"/>
        <v>high value</v>
      </c>
    </row>
    <row r="216" spans="1:3" x14ac:dyDescent="0.3">
      <c r="A216" s="41" t="str">
        <v>Barbara Young</v>
      </c>
      <c r="B216" s="41">
        <f>SUMIFS(Table1[Total_Amount],Table1[Customer_Name],A216)</f>
        <v>10649.8</v>
      </c>
      <c r="C216" s="41" t="str">
        <f t="shared" si="3"/>
        <v>high value</v>
      </c>
    </row>
    <row r="217" spans="1:3" x14ac:dyDescent="0.3">
      <c r="A217" s="41" t="str">
        <v>Frank Torres</v>
      </c>
      <c r="B217" s="41">
        <f>SUMIFS(Table1[Total_Amount],Table1[Customer_Name],A217)</f>
        <v>1479.91</v>
      </c>
      <c r="C217" s="41" t="str">
        <f t="shared" si="3"/>
        <v>Normal</v>
      </c>
    </row>
    <row r="218" spans="1:3" x14ac:dyDescent="0.3">
      <c r="A218" s="41" t="str">
        <v>Charles Allen</v>
      </c>
      <c r="B218" s="41">
        <f>SUMIFS(Table1[Total_Amount],Table1[Customer_Name],A218)</f>
        <v>5089.7300000000005</v>
      </c>
      <c r="C218" s="41" t="str">
        <f t="shared" si="3"/>
        <v>high value</v>
      </c>
    </row>
    <row r="219" spans="1:3" x14ac:dyDescent="0.3">
      <c r="A219" s="41" t="str">
        <v>Sharon Butler</v>
      </c>
      <c r="B219" s="41">
        <f>SUMIFS(Table1[Total_Amount],Table1[Customer_Name],A219)</f>
        <v>5619.869999999999</v>
      </c>
      <c r="C219" s="41" t="str">
        <f t="shared" si="3"/>
        <v>high value</v>
      </c>
    </row>
    <row r="220" spans="1:3" x14ac:dyDescent="0.3">
      <c r="A220" s="41" t="str">
        <v>Ruth Brooks</v>
      </c>
      <c r="B220" s="41">
        <f>SUMIFS(Table1[Total_Amount],Table1[Customer_Name],A220)</f>
        <v>1749.92</v>
      </c>
      <c r="C220" s="41" t="str">
        <f t="shared" si="3"/>
        <v>Normal</v>
      </c>
    </row>
    <row r="221" spans="1:3" x14ac:dyDescent="0.3">
      <c r="A221" s="41" t="str">
        <v>Arthur Edwards</v>
      </c>
      <c r="B221" s="41">
        <f>SUMIFS(Table1[Total_Amount],Table1[Customer_Name],A221)</f>
        <v>1559.94</v>
      </c>
      <c r="C221" s="41" t="str">
        <f t="shared" si="3"/>
        <v>Normal</v>
      </c>
    </row>
    <row r="222" spans="1:3" x14ac:dyDescent="0.3">
      <c r="A222" s="41" t="str">
        <v>Elizabeth Hall</v>
      </c>
      <c r="B222" s="41">
        <f>SUMIFS(Table1[Total_Amount],Table1[Customer_Name],A222)</f>
        <v>3649.8599999999997</v>
      </c>
      <c r="C222" s="41" t="str">
        <f t="shared" si="3"/>
        <v>high value</v>
      </c>
    </row>
    <row r="223" spans="1:3" x14ac:dyDescent="0.3">
      <c r="A223" s="41" t="str">
        <v>Steven Turner</v>
      </c>
      <c r="B223" s="41">
        <f>SUMIFS(Table1[Total_Amount],Table1[Customer_Name],A223)</f>
        <v>2649.83</v>
      </c>
      <c r="C223" s="41" t="str">
        <f t="shared" si="3"/>
        <v>high value</v>
      </c>
    </row>
    <row r="224" spans="1:3" x14ac:dyDescent="0.3">
      <c r="A224" s="41" t="str">
        <v>Richard Lee</v>
      </c>
      <c r="B224" s="41">
        <f>SUMIFS(Table1[Total_Amount],Table1[Customer_Name],A224)</f>
        <v>739.93000000000006</v>
      </c>
      <c r="C224" s="41" t="str">
        <f t="shared" si="3"/>
        <v>Normal</v>
      </c>
    </row>
    <row r="225" spans="1:3" x14ac:dyDescent="0.3">
      <c r="A225" s="41" t="str">
        <v>Virginia Sanders</v>
      </c>
      <c r="B225" s="41">
        <f>SUMIFS(Table1[Total_Amount],Table1[Customer_Name],A225)</f>
        <v>4789.7900000000009</v>
      </c>
      <c r="C225" s="41" t="str">
        <f t="shared" si="3"/>
        <v>high value</v>
      </c>
    </row>
    <row r="226" spans="1:3" x14ac:dyDescent="0.3">
      <c r="A226" s="41" t="str">
        <v>Charles Allen</v>
      </c>
      <c r="B226" s="41">
        <f>SUMIFS(Table1[Total_Amount],Table1[Customer_Name],A226)</f>
        <v>5089.7300000000005</v>
      </c>
      <c r="C226" s="41" t="str">
        <f t="shared" si="3"/>
        <v>high value</v>
      </c>
    </row>
    <row r="227" spans="1:3" x14ac:dyDescent="0.3">
      <c r="A227" s="41" t="str">
        <v>Lawrence Reed</v>
      </c>
      <c r="B227" s="41">
        <f>SUMIFS(Table1[Total_Amount],Table1[Customer_Name],A227)</f>
        <v>6989.7699999999986</v>
      </c>
      <c r="C227" s="41" t="str">
        <f t="shared" si="3"/>
        <v>high value</v>
      </c>
    </row>
    <row r="228" spans="1:3" x14ac:dyDescent="0.3">
      <c r="A228" s="41" t="str">
        <v>Dennis Gray</v>
      </c>
      <c r="B228" s="41">
        <f>SUMIFS(Table1[Total_Amount],Table1[Customer_Name],A228)</f>
        <v>479.91999999999996</v>
      </c>
      <c r="C228" s="41" t="str">
        <f t="shared" si="3"/>
        <v>Normal</v>
      </c>
    </row>
    <row r="229" spans="1:3" x14ac:dyDescent="0.3">
      <c r="A229" s="41" t="str">
        <v>Paul Baker</v>
      </c>
      <c r="B229" s="41">
        <f>SUMIFS(Table1[Total_Amount],Table1[Customer_Name],A229)</f>
        <v>8309.739999999998</v>
      </c>
      <c r="C229" s="41" t="str">
        <f t="shared" si="3"/>
        <v>high value</v>
      </c>
    </row>
    <row r="230" spans="1:3" x14ac:dyDescent="0.3">
      <c r="A230" s="41" t="str">
        <v>Helen Roberts</v>
      </c>
      <c r="B230" s="41">
        <f>SUMIFS(Table1[Total_Amount],Table1[Customer_Name],A230)</f>
        <v>6459.79</v>
      </c>
      <c r="C230" s="41" t="str">
        <f t="shared" si="3"/>
        <v>high value</v>
      </c>
    </row>
    <row r="231" spans="1:3" x14ac:dyDescent="0.3">
      <c r="A231" s="41" t="str">
        <v>Lawrence Reed</v>
      </c>
      <c r="B231" s="41">
        <f>SUMIFS(Table1[Total_Amount],Table1[Customer_Name],A231)</f>
        <v>6989.7699999999986</v>
      </c>
      <c r="C231" s="41" t="str">
        <f t="shared" si="3"/>
        <v>high value</v>
      </c>
    </row>
    <row r="232" spans="1:3" x14ac:dyDescent="0.3">
      <c r="A232" s="41" t="str">
        <v>Harry Morgan</v>
      </c>
      <c r="B232" s="41">
        <f>SUMIFS(Table1[Total_Amount],Table1[Customer_Name],A232)</f>
        <v>5519.8899999999994</v>
      </c>
      <c r="C232" s="41" t="str">
        <f t="shared" si="3"/>
        <v>high value</v>
      </c>
    </row>
    <row r="233" spans="1:3" x14ac:dyDescent="0.3">
      <c r="A233" s="41" t="str">
        <v>Charles Allen</v>
      </c>
      <c r="B233" s="41">
        <f>SUMIFS(Table1[Total_Amount],Table1[Customer_Name],A233)</f>
        <v>5089.7300000000005</v>
      </c>
      <c r="C233" s="41" t="str">
        <f t="shared" si="3"/>
        <v>high value</v>
      </c>
    </row>
    <row r="234" spans="1:3" x14ac:dyDescent="0.3">
      <c r="A234" s="41" t="str">
        <v>Harry Morgan</v>
      </c>
      <c r="B234" s="41">
        <f>SUMIFS(Table1[Total_Amount],Table1[Customer_Name],A234)</f>
        <v>5519.8899999999994</v>
      </c>
      <c r="C234" s="41" t="str">
        <f t="shared" si="3"/>
        <v>high value</v>
      </c>
    </row>
    <row r="235" spans="1:3" x14ac:dyDescent="0.3">
      <c r="A235" s="41" t="str">
        <v>Frank Torres</v>
      </c>
      <c r="B235" s="41">
        <f>SUMIFS(Table1[Total_Amount],Table1[Customer_Name],A235)</f>
        <v>1479.91</v>
      </c>
      <c r="C235" s="41" t="str">
        <f t="shared" si="3"/>
        <v>Normal</v>
      </c>
    </row>
    <row r="236" spans="1:3" x14ac:dyDescent="0.3">
      <c r="A236" s="41" t="str">
        <v>Emma Wilson</v>
      </c>
      <c r="B236" s="41">
        <f>SUMIFS(Table1[Total_Amount],Table1[Customer_Name],A236)</f>
        <v>1229.8800000000001</v>
      </c>
      <c r="C236" s="41" t="str">
        <f t="shared" si="3"/>
        <v>Normal</v>
      </c>
    </row>
    <row r="237" spans="1:3" x14ac:dyDescent="0.3">
      <c r="A237" s="41" t="str">
        <v>Sharon Butler</v>
      </c>
      <c r="B237" s="41">
        <f>SUMIFS(Table1[Total_Amount],Table1[Customer_Name],A237)</f>
        <v>5619.869999999999</v>
      </c>
      <c r="C237" s="41" t="str">
        <f t="shared" si="3"/>
        <v>high value</v>
      </c>
    </row>
    <row r="238" spans="1:3" x14ac:dyDescent="0.3">
      <c r="A238" s="41" t="str">
        <v>Dorothy Nelson</v>
      </c>
      <c r="B238" s="41">
        <f>SUMIFS(Table1[Total_Amount],Table1[Customer_Name],A238)</f>
        <v>8269.7900000000009</v>
      </c>
      <c r="C238" s="41" t="str">
        <f t="shared" si="3"/>
        <v>high value</v>
      </c>
    </row>
    <row r="239" spans="1:3" x14ac:dyDescent="0.3">
      <c r="A239" s="41" t="str">
        <v>Paul Baker</v>
      </c>
      <c r="B239" s="41">
        <f>SUMIFS(Table1[Total_Amount],Table1[Customer_Name],A239)</f>
        <v>8309.739999999998</v>
      </c>
      <c r="C239" s="41" t="str">
        <f t="shared" si="3"/>
        <v>high value</v>
      </c>
    </row>
    <row r="240" spans="1:3" x14ac:dyDescent="0.3">
      <c r="A240" s="41" t="str">
        <v>John Smith</v>
      </c>
      <c r="B240" s="41">
        <f>SUMIFS(Table1[Total_Amount],Table1[Customer_Name],A240)</f>
        <v>599.96</v>
      </c>
      <c r="C240" s="41" t="str">
        <f t="shared" si="3"/>
        <v>Normal</v>
      </c>
    </row>
    <row r="241" spans="1:3" x14ac:dyDescent="0.3">
      <c r="A241" s="41" t="str">
        <v>Cynthia Price</v>
      </c>
      <c r="B241" s="41">
        <f>SUMIFS(Table1[Total_Amount],Table1[Customer_Name],A241)</f>
        <v>3769.8300000000004</v>
      </c>
      <c r="C241" s="41" t="str">
        <f t="shared" si="3"/>
        <v>high value</v>
      </c>
    </row>
    <row r="242" spans="1:3" x14ac:dyDescent="0.3">
      <c r="A242" s="41" t="str">
        <v>Margaret Wright</v>
      </c>
      <c r="B242" s="41">
        <f>SUMIFS(Table1[Total_Amount],Table1[Customer_Name],A242)</f>
        <v>2099.88</v>
      </c>
      <c r="C242" s="41" t="str">
        <f t="shared" si="3"/>
        <v>high value</v>
      </c>
    </row>
    <row r="243" spans="1:3" x14ac:dyDescent="0.3">
      <c r="A243" s="41" t="str">
        <v>Virginia Sanders</v>
      </c>
      <c r="B243" s="41">
        <f>SUMIFS(Table1[Total_Amount],Table1[Customer_Name],A243)</f>
        <v>4789.7900000000009</v>
      </c>
      <c r="C243" s="41" t="str">
        <f t="shared" si="3"/>
        <v>high value</v>
      </c>
    </row>
    <row r="244" spans="1:3" x14ac:dyDescent="0.3">
      <c r="A244" s="41" t="str">
        <v>Karen Hill</v>
      </c>
      <c r="B244" s="41">
        <f>SUMIFS(Table1[Total_Amount],Table1[Customer_Name],A244)</f>
        <v>8009.7699999999995</v>
      </c>
      <c r="C244" s="41" t="str">
        <f t="shared" si="3"/>
        <v>high value</v>
      </c>
    </row>
    <row r="245" spans="1:3" x14ac:dyDescent="0.3">
      <c r="A245" s="41" t="str">
        <v>Cynthia Price</v>
      </c>
      <c r="B245" s="41">
        <f>SUMIFS(Table1[Total_Amount],Table1[Customer_Name],A245)</f>
        <v>3769.8300000000004</v>
      </c>
      <c r="C245" s="41" t="str">
        <f t="shared" si="3"/>
        <v>high value</v>
      </c>
    </row>
    <row r="246" spans="1:3" x14ac:dyDescent="0.3">
      <c r="A246" s="41" t="str">
        <v>Edward Mitchell</v>
      </c>
      <c r="B246" s="41">
        <f>SUMIFS(Table1[Total_Amount],Table1[Customer_Name],A246)</f>
        <v>11919.769999999999</v>
      </c>
      <c r="C246" s="41" t="str">
        <f t="shared" si="3"/>
        <v>high value</v>
      </c>
    </row>
    <row r="247" spans="1:3" x14ac:dyDescent="0.3">
      <c r="A247" s="41" t="str">
        <v>Virginia Sanders</v>
      </c>
      <c r="B247" s="41">
        <f>SUMIFS(Table1[Total_Amount],Table1[Customer_Name],A247)</f>
        <v>4789.7900000000009</v>
      </c>
      <c r="C247" s="41" t="str">
        <f t="shared" si="3"/>
        <v>high value</v>
      </c>
    </row>
    <row r="248" spans="1:3" x14ac:dyDescent="0.3">
      <c r="A248" s="41" t="str">
        <v>Robert Thomas</v>
      </c>
      <c r="B248" s="41">
        <f>SUMIFS(Table1[Total_Amount],Table1[Customer_Name],A248)</f>
        <v>3509.8999999999996</v>
      </c>
      <c r="C248" s="41" t="str">
        <f t="shared" si="3"/>
        <v>high value</v>
      </c>
    </row>
    <row r="249" spans="1:3" x14ac:dyDescent="0.3">
      <c r="A249" s="41" t="str">
        <v>Douglas Watson</v>
      </c>
      <c r="B249" s="41">
        <f>SUMIFS(Table1[Total_Amount],Table1[Customer_Name],A249)</f>
        <v>4829.8899999999994</v>
      </c>
      <c r="C249" s="41" t="str">
        <f t="shared" si="3"/>
        <v>high value</v>
      </c>
    </row>
    <row r="250" spans="1:3" x14ac:dyDescent="0.3">
      <c r="A250" s="41" t="str">
        <v>Lawrence Reed</v>
      </c>
      <c r="B250" s="41">
        <f>SUMIFS(Table1[Total_Amount],Table1[Customer_Name],A250)</f>
        <v>6989.7699999999986</v>
      </c>
      <c r="C250" s="41" t="str">
        <f t="shared" si="3"/>
        <v>high value</v>
      </c>
    </row>
    <row r="251" spans="1:3" x14ac:dyDescent="0.3">
      <c r="A251" s="41" t="str">
        <v>Steven Turner</v>
      </c>
      <c r="B251" s="41">
        <f>SUMIFS(Table1[Total_Amount],Table1[Customer_Name],A251)</f>
        <v>2649.83</v>
      </c>
      <c r="C251" s="41" t="str">
        <f t="shared" si="3"/>
        <v>high value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792AC-E5DC-41A2-A681-DB3B132AAE1B}">
  <dimension ref="A1:C11"/>
  <sheetViews>
    <sheetView workbookViewId="0">
      <selection activeCell="F22" sqref="F22"/>
    </sheetView>
  </sheetViews>
  <sheetFormatPr defaultRowHeight="14.4" x14ac:dyDescent="0.3"/>
  <cols>
    <col min="1" max="1" width="14.88671875" bestFit="1" customWidth="1"/>
    <col min="2" max="2" width="15.5546875" style="42" bestFit="1" customWidth="1"/>
    <col min="3" max="3" width="17.44140625" bestFit="1" customWidth="1"/>
  </cols>
  <sheetData>
    <row r="1" spans="1:3" x14ac:dyDescent="0.3">
      <c r="A1" s="43" t="s">
        <v>441</v>
      </c>
      <c r="B1" s="44" t="s">
        <v>442</v>
      </c>
      <c r="C1" s="43" t="s">
        <v>443</v>
      </c>
    </row>
    <row r="2" spans="1:3" x14ac:dyDescent="0.3">
      <c r="A2" s="43" t="str" cm="1">
        <f t="array" ref="A2:A11">_xlfn.UNIQUE(Table1[Product_Name])</f>
        <v>Monitor</v>
      </c>
      <c r="B2" s="44">
        <f>COUNTIFS(Table1[Product_Name],A2)</f>
        <v>26</v>
      </c>
      <c r="C2" s="43">
        <f>SUMIFS(Table1[Total_Amount],Table1[Product_Name],product!A2)</f>
        <v>21999.119999999999</v>
      </c>
    </row>
    <row r="3" spans="1:3" x14ac:dyDescent="0.3">
      <c r="A3" s="43" t="str">
        <v>Blender</v>
      </c>
      <c r="B3" s="44">
        <f>COUNTIFS(Table1[Product_Name],A3)</f>
        <v>29</v>
      </c>
      <c r="C3" s="43">
        <f>SUMIFS(Table1[Total_Amount],Table1[Product_Name],product!A3)</f>
        <v>5219.1299999999974</v>
      </c>
    </row>
    <row r="4" spans="1:3" x14ac:dyDescent="0.3">
      <c r="A4" s="43" t="str">
        <v>Bookshelf</v>
      </c>
      <c r="B4" s="44">
        <f>COUNTIFS(Table1[Product_Name],A4)</f>
        <v>35</v>
      </c>
      <c r="C4" s="43">
        <f>SUMIFS(Table1[Total_Amount],Table1[Product_Name],product!A4)</f>
        <v>15298.979999999994</v>
      </c>
    </row>
    <row r="5" spans="1:3" x14ac:dyDescent="0.3">
      <c r="A5" s="43" t="str">
        <v>Headphones</v>
      </c>
      <c r="B5" s="44">
        <f>COUNTIFS(Table1[Product_Name],A5)</f>
        <v>16</v>
      </c>
      <c r="C5" s="43">
        <f>SUMIFS(Table1[Total_Amount],Table1[Product_Name],product!A5)</f>
        <v>7049.5299999999988</v>
      </c>
    </row>
    <row r="6" spans="1:3" x14ac:dyDescent="0.3">
      <c r="A6" s="43" t="str">
        <v>Laptop</v>
      </c>
      <c r="B6" s="44">
        <f>COUNTIFS(Table1[Product_Name],A6)</f>
        <v>24</v>
      </c>
      <c r="C6" s="43">
        <f>SUMIFS(Table1[Total_Amount],Table1[Product_Name],product!A6)</f>
        <v>67499.25</v>
      </c>
    </row>
    <row r="7" spans="1:3" x14ac:dyDescent="0.3">
      <c r="A7" s="43" t="str">
        <v>Smartphone</v>
      </c>
      <c r="B7" s="44">
        <f>COUNTIFS(Table1[Product_Name],A7)</f>
        <v>31</v>
      </c>
      <c r="C7" s="43">
        <f>SUMIFS(Table1[Total_Amount],Table1[Product_Name],product!A7)</f>
        <v>67199.039999999994</v>
      </c>
    </row>
    <row r="8" spans="1:3" x14ac:dyDescent="0.3">
      <c r="A8" s="43" t="str">
        <v>Desk</v>
      </c>
      <c r="B8" s="44">
        <f>COUNTIFS(Table1[Product_Name],A8)</f>
        <v>26</v>
      </c>
      <c r="C8" s="43">
        <f>SUMIFS(Table1[Total_Amount],Table1[Product_Name],product!A8)</f>
        <v>23399.22</v>
      </c>
    </row>
    <row r="9" spans="1:3" x14ac:dyDescent="0.3">
      <c r="A9" s="43" t="str">
        <v>Coffee Maker</v>
      </c>
      <c r="B9" s="44">
        <f>COUNTIFS(Table1[Product_Name],A9)</f>
        <v>14</v>
      </c>
      <c r="C9" s="43">
        <f>SUMIFS(Table1[Total_Amount],Table1[Product_Name],product!A9)</f>
        <v>3119.6099999999992</v>
      </c>
    </row>
    <row r="10" spans="1:3" x14ac:dyDescent="0.3">
      <c r="A10" s="43" t="str">
        <v>Keyboard</v>
      </c>
      <c r="B10" s="44">
        <f>COUNTIFS(Table1[Product_Name],A10)</f>
        <v>34</v>
      </c>
      <c r="C10" s="43">
        <f>SUMIFS(Table1[Total_Amount],Table1[Product_Name],product!A10)</f>
        <v>8009.1099999999969</v>
      </c>
    </row>
    <row r="11" spans="1:3" x14ac:dyDescent="0.3">
      <c r="A11" s="43" t="str">
        <v>Office Chair</v>
      </c>
      <c r="B11" s="44">
        <f>COUNTIFS(Table1[Product_Name],A11)</f>
        <v>15</v>
      </c>
      <c r="C11" s="43">
        <f>SUMIFS(Table1[Total_Amount],Table1[Product_Name],product!A11)</f>
        <v>10399.479999999998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AAF7-B83E-47A8-9ADD-EDE8F06DA748}">
  <dimension ref="A1:D4"/>
  <sheetViews>
    <sheetView workbookViewId="0">
      <selection activeCell="J26" sqref="J26"/>
    </sheetView>
  </sheetViews>
  <sheetFormatPr defaultRowHeight="14.4" x14ac:dyDescent="0.3"/>
  <cols>
    <col min="1" max="1" width="13.88671875" customWidth="1"/>
    <col min="2" max="2" width="11.6640625" customWidth="1"/>
    <col min="6" max="6" width="8.88671875" customWidth="1"/>
  </cols>
  <sheetData>
    <row r="1" spans="1:4" x14ac:dyDescent="0.3">
      <c r="A1" s="45" t="s">
        <v>445</v>
      </c>
      <c r="B1" s="45" t="s">
        <v>446</v>
      </c>
      <c r="C1" s="46"/>
      <c r="D1" s="45" t="s">
        <v>447</v>
      </c>
    </row>
    <row r="2" spans="1:4" x14ac:dyDescent="0.3">
      <c r="A2" s="45" t="s">
        <v>16</v>
      </c>
      <c r="B2" s="45" t="s">
        <v>30</v>
      </c>
      <c r="C2" s="46"/>
      <c r="D2" s="45" t="str">
        <f>IF(ISNUMBER(MATCH(A2,B2:B4,0)),"match","-")</f>
        <v>match</v>
      </c>
    </row>
    <row r="3" spans="1:4" ht="28.8" x14ac:dyDescent="0.3">
      <c r="A3" s="45" t="s">
        <v>25</v>
      </c>
      <c r="B3" s="45" t="s">
        <v>90</v>
      </c>
      <c r="C3" s="46"/>
      <c r="D3" s="45" t="str">
        <f>IF(ISNUMBER(MATCH(A3,B3:B5,0)),"match","-")</f>
        <v>-</v>
      </c>
    </row>
    <row r="4" spans="1:4" x14ac:dyDescent="0.3">
      <c r="A4" s="45" t="s">
        <v>30</v>
      </c>
      <c r="B4" s="45" t="s">
        <v>16</v>
      </c>
      <c r="C4" s="46"/>
      <c r="D4" s="45" t="str">
        <f>IF(ISNUMBER(MATCH(A4,B4:B6,0)),"match","-")</f>
        <v>-</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B9CAF-334E-4AA3-A1F5-CFD7D5089FA3}">
  <dimension ref="B2:C7"/>
  <sheetViews>
    <sheetView workbookViewId="0">
      <selection activeCell="I19" sqref="I19"/>
    </sheetView>
  </sheetViews>
  <sheetFormatPr defaultRowHeight="14.4" x14ac:dyDescent="0.3"/>
  <cols>
    <col min="2" max="2" width="15" bestFit="1" customWidth="1"/>
  </cols>
  <sheetData>
    <row r="2" spans="2:3" x14ac:dyDescent="0.3">
      <c r="B2" s="47" t="s">
        <v>444</v>
      </c>
      <c r="C2" s="47" t="s">
        <v>448</v>
      </c>
    </row>
    <row r="3" spans="2:3" x14ac:dyDescent="0.3">
      <c r="B3" s="47" t="s">
        <v>449</v>
      </c>
      <c r="C3" s="47" t="str">
        <f>LEFT(B3,1)&amp;LEFT(MID(B3,FIND(" ",B3)+1,10),1)</f>
        <v>rs</v>
      </c>
    </row>
    <row r="4" spans="2:3" x14ac:dyDescent="0.3">
      <c r="B4" s="47" t="s">
        <v>450</v>
      </c>
      <c r="C4" s="47" t="str">
        <f t="shared" ref="C4:C7" si="0">LEFT(B4,1)&amp;LEFT(MID(B4,FIND(" ",B4)+1,10),1)</f>
        <v>ps</v>
      </c>
    </row>
    <row r="5" spans="2:3" x14ac:dyDescent="0.3">
      <c r="B5" s="47" t="s">
        <v>451</v>
      </c>
      <c r="C5" s="47" t="str">
        <f t="shared" si="0"/>
        <v>jm</v>
      </c>
    </row>
    <row r="6" spans="2:3" x14ac:dyDescent="0.3">
      <c r="B6" s="47" t="s">
        <v>452</v>
      </c>
      <c r="C6" s="47" t="str">
        <f t="shared" si="0"/>
        <v>mr</v>
      </c>
    </row>
    <row r="7" spans="2:3" x14ac:dyDescent="0.3">
      <c r="B7" s="47" t="s">
        <v>453</v>
      </c>
      <c r="C7" s="47" t="str">
        <f t="shared" si="0"/>
        <v>ss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4D905-09AB-458B-BF4A-8094D0D93698}">
  <dimension ref="B2:O24"/>
  <sheetViews>
    <sheetView showGridLines="0" tabSelected="1" zoomScaleNormal="100" workbookViewId="0">
      <selection activeCell="J21" sqref="J21"/>
    </sheetView>
  </sheetViews>
  <sheetFormatPr defaultRowHeight="14.4" x14ac:dyDescent="0.3"/>
  <cols>
    <col min="1" max="2" width="11" bestFit="1" customWidth="1"/>
    <col min="3" max="4" width="19.88671875" bestFit="1" customWidth="1"/>
    <col min="5" max="5" width="20.44140625" bestFit="1" customWidth="1"/>
    <col min="6" max="6" width="19.88671875" bestFit="1" customWidth="1"/>
    <col min="7" max="7" width="16.109375" bestFit="1" customWidth="1"/>
    <col min="8" max="8" width="15" bestFit="1" customWidth="1"/>
    <col min="9" max="9" width="6.88671875" bestFit="1" customWidth="1"/>
    <col min="10" max="10" width="17.77734375" bestFit="1" customWidth="1"/>
    <col min="11" max="11" width="11.88671875" bestFit="1" customWidth="1"/>
    <col min="12" max="13" width="19.88671875" bestFit="1" customWidth="1"/>
    <col min="14" max="14" width="10.77734375" bestFit="1" customWidth="1"/>
    <col min="15" max="15" width="19.88671875" bestFit="1" customWidth="1"/>
    <col min="16" max="57" width="17.77734375" bestFit="1" customWidth="1"/>
    <col min="58" max="58" width="11" bestFit="1" customWidth="1"/>
  </cols>
  <sheetData>
    <row r="2" spans="2:15" x14ac:dyDescent="0.3">
      <c r="B2" s="48" t="s">
        <v>10</v>
      </c>
      <c r="C2" s="2" t="s">
        <v>454</v>
      </c>
      <c r="G2" s="48" t="s">
        <v>5</v>
      </c>
      <c r="H2" s="2" t="s">
        <v>460</v>
      </c>
    </row>
    <row r="3" spans="2:15" x14ac:dyDescent="0.3">
      <c r="B3" s="2" t="s">
        <v>21</v>
      </c>
      <c r="C3" s="49">
        <v>41288.340000000004</v>
      </c>
      <c r="G3" s="2" t="s">
        <v>32</v>
      </c>
      <c r="H3" s="49">
        <v>87</v>
      </c>
      <c r="M3" s="48" t="s">
        <v>10</v>
      </c>
      <c r="N3" s="48" t="s">
        <v>6</v>
      </c>
      <c r="O3" s="2" t="s">
        <v>454</v>
      </c>
    </row>
    <row r="4" spans="2:15" x14ac:dyDescent="0.3">
      <c r="B4" s="2" t="s">
        <v>63</v>
      </c>
      <c r="C4" s="49">
        <v>59288.389999999992</v>
      </c>
      <c r="G4" s="2" t="s">
        <v>45</v>
      </c>
      <c r="H4" s="49">
        <v>102</v>
      </c>
      <c r="M4" s="2" t="s">
        <v>21</v>
      </c>
      <c r="N4" s="2" t="s">
        <v>33</v>
      </c>
      <c r="O4" s="49">
        <v>1999.71</v>
      </c>
    </row>
    <row r="5" spans="2:15" x14ac:dyDescent="0.3">
      <c r="B5" s="2" t="s">
        <v>40</v>
      </c>
      <c r="C5" s="49">
        <v>50808.31</v>
      </c>
      <c r="G5" s="2" t="s">
        <v>115</v>
      </c>
      <c r="H5" s="49">
        <v>39</v>
      </c>
      <c r="M5" s="2"/>
      <c r="N5" s="2" t="s">
        <v>19</v>
      </c>
      <c r="O5" s="49">
        <v>24889.329999999998</v>
      </c>
    </row>
    <row r="6" spans="2:15" x14ac:dyDescent="0.3">
      <c r="B6" s="2" t="s">
        <v>50</v>
      </c>
      <c r="C6" s="49">
        <v>41408.680000000008</v>
      </c>
      <c r="G6" s="2" t="s">
        <v>106</v>
      </c>
      <c r="H6" s="49">
        <v>78</v>
      </c>
      <c r="M6" s="2"/>
      <c r="N6" s="2" t="s">
        <v>46</v>
      </c>
      <c r="O6" s="49">
        <v>14399.300000000001</v>
      </c>
    </row>
    <row r="7" spans="2:15" x14ac:dyDescent="0.3">
      <c r="B7" s="2" t="s">
        <v>440</v>
      </c>
      <c r="C7" s="49">
        <v>192793.71999999997</v>
      </c>
      <c r="G7" s="2" t="s">
        <v>53</v>
      </c>
      <c r="H7" s="49">
        <v>47</v>
      </c>
      <c r="M7" s="2" t="s">
        <v>455</v>
      </c>
      <c r="N7" s="2"/>
      <c r="O7" s="49">
        <v>41288.339999999997</v>
      </c>
    </row>
    <row r="8" spans="2:15" x14ac:dyDescent="0.3">
      <c r="G8" s="2" t="s">
        <v>118</v>
      </c>
      <c r="H8" s="49">
        <v>89</v>
      </c>
      <c r="M8" s="2" t="s">
        <v>63</v>
      </c>
      <c r="N8" s="2" t="s">
        <v>33</v>
      </c>
      <c r="O8" s="49">
        <v>2239.67</v>
      </c>
    </row>
    <row r="9" spans="2:15" x14ac:dyDescent="0.3">
      <c r="G9" s="2" t="s">
        <v>62</v>
      </c>
      <c r="H9" s="49">
        <v>75</v>
      </c>
      <c r="M9" s="2"/>
      <c r="N9" s="2" t="s">
        <v>19</v>
      </c>
      <c r="O9" s="49">
        <v>50649.009999999995</v>
      </c>
    </row>
    <row r="10" spans="2:15" x14ac:dyDescent="0.3">
      <c r="G10" s="2" t="s">
        <v>18</v>
      </c>
      <c r="H10" s="49">
        <v>88</v>
      </c>
      <c r="M10" s="2"/>
      <c r="N10" s="2" t="s">
        <v>46</v>
      </c>
      <c r="O10" s="49">
        <v>6399.71</v>
      </c>
    </row>
    <row r="11" spans="2:15" x14ac:dyDescent="0.3">
      <c r="G11" s="2" t="s">
        <v>127</v>
      </c>
      <c r="H11" s="49">
        <v>52</v>
      </c>
      <c r="M11" s="2" t="s">
        <v>456</v>
      </c>
      <c r="N11" s="2"/>
      <c r="O11" s="49">
        <v>59288.389999999992</v>
      </c>
    </row>
    <row r="12" spans="2:15" x14ac:dyDescent="0.3">
      <c r="G12" s="2" t="s">
        <v>81</v>
      </c>
      <c r="H12" s="49">
        <v>96</v>
      </c>
      <c r="M12" s="2" t="s">
        <v>40</v>
      </c>
      <c r="N12" s="2" t="s">
        <v>33</v>
      </c>
      <c r="O12" s="49">
        <v>1119.8399999999999</v>
      </c>
    </row>
    <row r="13" spans="2:15" x14ac:dyDescent="0.3">
      <c r="G13" s="2" t="s">
        <v>440</v>
      </c>
      <c r="H13" s="49">
        <v>753</v>
      </c>
      <c r="M13" s="2"/>
      <c r="N13" s="2" t="s">
        <v>19</v>
      </c>
      <c r="O13" s="49">
        <v>39239.040000000015</v>
      </c>
    </row>
    <row r="14" spans="2:15" x14ac:dyDescent="0.3">
      <c r="M14" s="2"/>
      <c r="N14" s="2" t="s">
        <v>46</v>
      </c>
      <c r="O14" s="49">
        <v>10449.429999999997</v>
      </c>
    </row>
    <row r="15" spans="2:15" x14ac:dyDescent="0.3">
      <c r="M15" s="2" t="s">
        <v>457</v>
      </c>
      <c r="N15" s="2"/>
      <c r="O15" s="49">
        <v>50808.310000000012</v>
      </c>
    </row>
    <row r="16" spans="2:15" x14ac:dyDescent="0.3">
      <c r="M16" s="2" t="s">
        <v>35</v>
      </c>
      <c r="N16" s="2" t="s">
        <v>33</v>
      </c>
      <c r="O16" s="49">
        <v>1099.83</v>
      </c>
    </row>
    <row r="17" spans="13:15" x14ac:dyDescent="0.3">
      <c r="M17" s="2"/>
      <c r="N17" s="2" t="s">
        <v>19</v>
      </c>
      <c r="O17" s="49">
        <v>25549.32</v>
      </c>
    </row>
    <row r="18" spans="13:15" x14ac:dyDescent="0.3">
      <c r="M18" s="2"/>
      <c r="N18" s="2" t="s">
        <v>46</v>
      </c>
      <c r="O18" s="49">
        <v>9749.5999999999985</v>
      </c>
    </row>
    <row r="19" spans="13:15" x14ac:dyDescent="0.3">
      <c r="M19" s="2" t="s">
        <v>458</v>
      </c>
      <c r="N19" s="2"/>
      <c r="O19" s="49">
        <v>36398.75</v>
      </c>
    </row>
    <row r="20" spans="13:15" x14ac:dyDescent="0.3">
      <c r="M20" s="2" t="s">
        <v>50</v>
      </c>
      <c r="N20" s="2" t="s">
        <v>33</v>
      </c>
      <c r="O20" s="49">
        <v>1879.69</v>
      </c>
    </row>
    <row r="21" spans="13:15" x14ac:dyDescent="0.3">
      <c r="M21" s="2"/>
      <c r="N21" s="2" t="s">
        <v>19</v>
      </c>
      <c r="O21" s="49">
        <v>31429.35</v>
      </c>
    </row>
    <row r="22" spans="13:15" x14ac:dyDescent="0.3">
      <c r="M22" s="2"/>
      <c r="N22" s="2" t="s">
        <v>46</v>
      </c>
      <c r="O22" s="49">
        <v>8099.6400000000012</v>
      </c>
    </row>
    <row r="23" spans="13:15" x14ac:dyDescent="0.3">
      <c r="M23" s="2" t="s">
        <v>459</v>
      </c>
      <c r="N23" s="2"/>
      <c r="O23" s="49">
        <v>41408.68</v>
      </c>
    </row>
    <row r="24" spans="13:15" x14ac:dyDescent="0.3">
      <c r="M24" s="2" t="s">
        <v>440</v>
      </c>
      <c r="N24" s="2"/>
      <c r="O24" s="49">
        <v>229192.47000000003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1D12-64B5-4FCA-9530-5F5AF4069AE4}">
  <dimension ref="A1"/>
  <sheetViews>
    <sheetView showGridLines="0" zoomScale="85" zoomScaleNormal="85" workbookViewId="0">
      <selection activeCell="P8" sqref="P8"/>
    </sheetView>
  </sheetViews>
  <sheetFormatPr defaultRowHeight="14.4" x14ac:dyDescent="0.3"/>
  <cols>
    <col min="1" max="1" width="19.109375" style="50" bestFit="1" customWidth="1"/>
    <col min="2" max="16384" width="8.88671875" style="50"/>
  </cols>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 Project Dataset</vt:lpstr>
      <vt:lpstr>date time</vt:lpstr>
      <vt:lpstr>filter</vt:lpstr>
      <vt:lpstr>conditional format</vt:lpstr>
      <vt:lpstr>WHAT IF</vt:lpstr>
      <vt:lpstr>LINEAR REGRESISON</vt:lpstr>
      <vt:lpstr>GROUP BY</vt:lpstr>
      <vt:lpstr>product</vt:lpstr>
      <vt:lpstr>lists</vt:lpstr>
      <vt:lpstr>abbreviations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het k</cp:lastModifiedBy>
  <dcterms:modified xsi:type="dcterms:W3CDTF">2026-03-17T13:11:29Z</dcterms:modified>
</cp:coreProperties>
</file>