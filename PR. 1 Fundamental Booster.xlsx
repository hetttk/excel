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ML-DATA SCIENCE\excel\"/>
    </mc:Choice>
  </mc:AlternateContent>
  <xr:revisionPtr revIDLastSave="0" documentId="13_ncr:1_{50C9B770-7DFF-40CE-AA33-96F179F1BF65}" xr6:coauthVersionLast="47" xr6:coauthVersionMax="47" xr10:uidLastSave="{00000000-0000-0000-0000-000000000000}"/>
  <bookViews>
    <workbookView xWindow="-108" yWindow="-108" windowWidth="23256" windowHeight="12456" firstSheet="9" activeTab="13" xr2:uid="{96B3F19F-2048-4203-ADDC-34A709AF35A7}"/>
  </bookViews>
  <sheets>
    <sheet name="relative,absolute,formatting" sheetId="1" r:id="rId1"/>
    <sheet name="if,ifs" sheetId="2" r:id="rId2"/>
    <sheet name="if with or" sheetId="3" r:id="rId3"/>
    <sheet name="count,sum,avg" sheetId="4" r:id="rId4"/>
    <sheet name="vlookup" sheetId="5" r:id="rId5"/>
    <sheet name="index,mtch" sheetId="6" r:id="rId6"/>
    <sheet name="text functions" sheetId="7" r:id="rId7"/>
    <sheet name="xlookup" sheetId="8" r:id="rId8"/>
    <sheet name="xmatch" sheetId="9" r:id="rId9"/>
    <sheet name="indirect" sheetId="10" r:id="rId10"/>
    <sheet name="offset" sheetId="11" r:id="rId11"/>
    <sheet name="DATE" sheetId="12" r:id="rId12"/>
    <sheet name="MATH" sheetId="13" r:id="rId13"/>
    <sheet name="Sheet7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4" l="1" a="1"/>
  <c r="B11" i="14" s="1"/>
  <c r="E12" i="13"/>
  <c r="E8" i="13"/>
  <c r="H8" i="13"/>
  <c r="F11" i="12"/>
  <c r="C11" i="12"/>
  <c r="C13" i="11"/>
  <c r="C12" i="9"/>
  <c r="I13" i="8"/>
  <c r="D15" i="8"/>
  <c r="C14" i="7"/>
  <c r="B14" i="7"/>
  <c r="C12" i="7"/>
  <c r="C13" i="7"/>
  <c r="B12" i="7"/>
  <c r="B13" i="7"/>
  <c r="C11" i="7"/>
  <c r="B11" i="7"/>
  <c r="E6" i="7"/>
  <c r="E7" i="7"/>
  <c r="E8" i="7"/>
  <c r="E5" i="7"/>
  <c r="E4" i="7"/>
  <c r="C4" i="7"/>
  <c r="C5" i="7"/>
  <c r="C6" i="7"/>
  <c r="C7" i="7"/>
  <c r="C3" i="7"/>
  <c r="M3" i="6" a="1"/>
  <c r="M3" i="6" s="1"/>
  <c r="C14" i="6"/>
  <c r="G13" i="5"/>
  <c r="C9" i="5"/>
  <c r="H14" i="4"/>
  <c r="B17" i="4"/>
  <c r="B16" i="4"/>
  <c r="L3" i="3"/>
  <c r="L4" i="3"/>
  <c r="L5" i="3"/>
  <c r="L6" i="3"/>
  <c r="L7" i="3"/>
  <c r="L8" i="3"/>
  <c r="L9" i="3"/>
  <c r="L10" i="3"/>
  <c r="E3" i="3"/>
  <c r="E4" i="3"/>
  <c r="E5" i="3"/>
  <c r="E6" i="3"/>
  <c r="E7" i="3"/>
  <c r="E8" i="3"/>
  <c r="E9" i="3"/>
  <c r="E2" i="3"/>
  <c r="N4" i="2" a="1"/>
  <c r="N4" i="2" s="1"/>
  <c r="N5" i="2" a="1"/>
  <c r="N5" i="2" s="1"/>
  <c r="N6" i="2" a="1"/>
  <c r="N6" i="2"/>
  <c r="N7" i="2" a="1"/>
  <c r="N7" i="2"/>
  <c r="N8" i="2" a="1"/>
  <c r="N8" i="2"/>
  <c r="N9" i="2" a="1"/>
  <c r="N9" i="2" s="1"/>
  <c r="N10" i="2" a="1"/>
  <c r="N10" i="2" s="1"/>
  <c r="N11" i="2" a="1"/>
  <c r="N11" i="2" s="1"/>
  <c r="N12" i="2" a="1"/>
  <c r="N12" i="2"/>
  <c r="N13" i="2" a="1"/>
  <c r="N13" i="2" s="1"/>
  <c r="N14" i="2" a="1"/>
  <c r="N14" i="2"/>
  <c r="N3" i="2" a="1"/>
  <c r="N3" i="2"/>
  <c r="G4" i="2" a="1"/>
  <c r="G4" i="2" s="1"/>
  <c r="G5" i="2" a="1"/>
  <c r="G5" i="2" s="1"/>
  <c r="G6" i="2" a="1"/>
  <c r="G6" i="2" s="1"/>
  <c r="G7" i="2" a="1"/>
  <c r="G7" i="2" s="1"/>
  <c r="G8" i="2" a="1"/>
  <c r="G8" i="2"/>
  <c r="G9" i="2" a="1"/>
  <c r="G9" i="2"/>
  <c r="G10" i="2" a="1"/>
  <c r="G10" i="2" s="1"/>
  <c r="G11" i="2" a="1"/>
  <c r="G11" i="2" s="1"/>
  <c r="G12" i="2" a="1"/>
  <c r="G12" i="2" s="1"/>
  <c r="G13" i="2" a="1"/>
  <c r="G13" i="2" s="1"/>
  <c r="G14" i="2" a="1"/>
  <c r="G14" i="2"/>
  <c r="G3" i="2" a="1"/>
  <c r="G3" i="2" s="1"/>
  <c r="C10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<sst xmlns="http://schemas.openxmlformats.org/spreadsheetml/2006/main" count="585" uniqueCount="157">
  <si>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</si>
  <si>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</si>
  <si>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</si>
  <si>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</si>
  <si>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</si>
  <si>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</si>
  <si>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</si>
  <si>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</si>
  <si>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</si>
  <si>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</si>
  <si>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</si>
  <si>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</si>
  <si>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</si>
  <si>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</si>
  <si>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</si>
  <si>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</si>
  <si>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</si>
  <si>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</si>
  <si>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</si>
  <si>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</si>
  <si>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</si>
  <si>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</si>
  <si>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</si>
  <si>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</si>
  <si>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</si>
  <si>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</si>
  <si>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</si>
  <si>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</si>
  <si>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</si>
  <si>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</si>
  <si>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</si>
  <si>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</si>
  <si>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</si>
  <si>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</si>
  <si>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</si>
  <si>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</si>
  <si>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</si>
  <si>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</si>
  <si>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</si>
  <si>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</si>
  <si>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</si>
  <si>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</si>
  <si>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</si>
  <si>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</si>
  <si>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</si>
  <si>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</si>
  <si>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</si>
  <si>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</si>
  <si>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</si>
  <si>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</si>
  <si>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</si>
  <si>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</si>
  <si>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</si>
  <si>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</si>
  <si>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</si>
  <si>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</si>
  <si>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</si>
  <si>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</si>
  <si>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</si>
  <si>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</si>
  <si>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</si>
  <si>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</si>
  <si>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</si>
  <si>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</si>
  <si>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</si>
  <si>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</si>
  <si>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</si>
  <si>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</si>
  <si>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</si>
  <si>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</si>
  <si>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</si>
  <si>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</si>
  <si>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</si>
  <si>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</si>
  <si>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</si>
  <si>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</si>
  <si>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</si>
  <si>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</si>
  <si>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</si>
  <si>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</si>
  <si>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</si>
  <si>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</si>
  <si>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</si>
  <si>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</si>
  <si>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</si>
  <si>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</si>
  <si>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</si>
  <si>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</si>
  <si>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</si>
  <si>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score</t>
  </si>
  <si>
    <t>grade</t>
  </si>
  <si>
    <t>&gt;80</t>
  </si>
  <si>
    <t>a</t>
  </si>
  <si>
    <t>b</t>
  </si>
  <si>
    <t>&gt;60</t>
  </si>
  <si>
    <t>&gt;50</t>
  </si>
  <si>
    <t>c</t>
  </si>
  <si>
    <t>&lt;50</t>
  </si>
  <si>
    <t>fail</t>
  </si>
  <si>
    <t>discounts</t>
  </si>
  <si>
    <t>50000&gt;20%</t>
  </si>
  <si>
    <t>50000&lt;5%</t>
  </si>
  <si>
    <t>greater&gt;80</t>
  </si>
  <si>
    <t>eligiblity</t>
  </si>
  <si>
    <t>AVERAGE</t>
  </si>
  <si>
    <t>COUNTS</t>
  </si>
  <si>
    <t>SUMIFS</t>
  </si>
  <si>
    <t>id</t>
  </si>
  <si>
    <t>name</t>
  </si>
  <si>
    <t>het k</t>
  </si>
  <si>
    <t>bob</t>
  </si>
  <si>
    <t xml:space="preserve"> drake</t>
  </si>
  <si>
    <t>kenddrik</t>
  </si>
  <si>
    <t>product codes</t>
  </si>
  <si>
    <t>Value</t>
  </si>
  <si>
    <t>output</t>
  </si>
  <si>
    <t>surname</t>
  </si>
  <si>
    <t>fullname</t>
  </si>
  <si>
    <t>het</t>
  </si>
  <si>
    <t>kapadnekar</t>
  </si>
  <si>
    <t>gangu</t>
  </si>
  <si>
    <t>bai</t>
  </si>
  <si>
    <t>srivalli</t>
  </si>
  <si>
    <t>pogani</t>
  </si>
  <si>
    <t>preet</t>
  </si>
  <si>
    <t>goetcha</t>
  </si>
  <si>
    <t>laksh</t>
  </si>
  <si>
    <t>kareliya</t>
  </si>
  <si>
    <t>ANS</t>
  </si>
  <si>
    <t>upper case</t>
  </si>
  <si>
    <t>`lower case</t>
  </si>
  <si>
    <t>sales id</t>
  </si>
  <si>
    <t>amount</t>
  </si>
  <si>
    <t>employee id</t>
  </si>
  <si>
    <t>salary</t>
  </si>
  <si>
    <t>posistion</t>
  </si>
  <si>
    <t>product</t>
  </si>
  <si>
    <t>D2:D7</t>
  </si>
  <si>
    <t>range</t>
  </si>
  <si>
    <t>indirect</t>
  </si>
  <si>
    <t>Date of Birth</t>
  </si>
  <si>
    <t>Current Date</t>
  </si>
  <si>
    <t>Rahul</t>
  </si>
  <si>
    <t>Priya</t>
  </si>
  <si>
    <t>Amit</t>
  </si>
  <si>
    <t>Neha</t>
  </si>
  <si>
    <t>Karan</t>
  </si>
  <si>
    <t>dob</t>
  </si>
  <si>
    <t>age</t>
  </si>
  <si>
    <t>DATE</t>
  </si>
  <si>
    <t>DAYS</t>
  </si>
  <si>
    <t>Price</t>
  </si>
  <si>
    <t>PRICE</t>
  </si>
  <si>
    <t>CELLING</t>
  </si>
  <si>
    <t>ROUND</t>
  </si>
  <si>
    <t>FLOOR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</si>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</sst>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0" fillId="0" borderId="5" xfId="0" applyBorder="1"/>
    <xf numFmtId="0" fontId="3" fillId="0" borderId="6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9" xfId="0" applyBorder="1"/>
    <xf numFmtId="0" fontId="2" fillId="2" borderId="10" xfId="0" applyFont="1" applyFill="1" applyBorder="1" applyAlignment="1">
      <alignment horizontal="center" vertical="center" wrapText="1"/>
    </xf>
    <xf numFmtId="0" fontId="0" fillId="3" borderId="0" xfId="0" applyFill="1"/>
    <xf numFmtId="0" fontId="2" fillId="2" borderId="1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0" fillId="0" borderId="12" xfId="0" applyBorder="1"/>
    <xf numFmtId="0" fontId="1" fillId="3" borderId="5" xfId="0" applyFont="1" applyFill="1" applyBorder="1"/>
    <xf numFmtId="0" fontId="0" fillId="3" borderId="5" xfId="0" applyFill="1" applyBorder="1"/>
    <xf numFmtId="0" fontId="2" fillId="3" borderId="5" xfId="0" applyFont="1" applyFill="1" applyBorder="1" applyAlignment="1">
      <alignment horizontal="center" vertical="center" wrapText="1"/>
    </xf>
    <xf numFmtId="0" fontId="0" fillId="4" borderId="5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5" borderId="5" xfId="0" applyFill="1" applyBorder="1"/>
    <xf numFmtId="0" fontId="3" fillId="5" borderId="4" xfId="0" applyFont="1" applyFill="1" applyBorder="1" applyAlignment="1">
      <alignment horizontal="center" vertical="center" wrapText="1"/>
    </xf>
    <xf numFmtId="0" fontId="0" fillId="6" borderId="0" xfId="0" applyFill="1"/>
    <xf numFmtId="0" fontId="1" fillId="6" borderId="0" xfId="0" applyFont="1" applyFill="1"/>
    <xf numFmtId="0" fontId="0" fillId="7" borderId="5" xfId="0" applyFill="1" applyBorder="1"/>
    <xf numFmtId="0" fontId="3" fillId="0" borderId="14" xfId="0" applyFont="1" applyBorder="1" applyAlignment="1">
      <alignment horizontal="center" vertical="center" wrapText="1"/>
    </xf>
    <xf numFmtId="0" fontId="0" fillId="7" borderId="13" xfId="0" applyFill="1" applyBorder="1"/>
    <xf numFmtId="0" fontId="3" fillId="7" borderId="15" xfId="0" applyFont="1" applyFill="1" applyBorder="1" applyAlignment="1">
      <alignment horizontal="center" vertical="center" wrapText="1"/>
    </xf>
    <xf numFmtId="0" fontId="0" fillId="7" borderId="15" xfId="0" applyFill="1" applyBorder="1"/>
    <xf numFmtId="0" fontId="0" fillId="7" borderId="16" xfId="0" applyFill="1" applyBorder="1"/>
    <xf numFmtId="0" fontId="0" fillId="8" borderId="5" xfId="0" applyFill="1" applyBorder="1"/>
    <xf numFmtId="0" fontId="1" fillId="8" borderId="5" xfId="0" applyFont="1" applyFill="1" applyBorder="1"/>
    <xf numFmtId="0" fontId="3" fillId="0" borderId="10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17" xfId="0" applyBorder="1"/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8" borderId="5" xfId="0" applyFont="1" applyFill="1" applyBorder="1" applyAlignment="1">
      <alignment vertical="center" wrapText="1"/>
    </xf>
    <xf numFmtId="0" fontId="0" fillId="8" borderId="5" xfId="0" applyFill="1" applyBorder="1" applyAlignment="1"/>
    <xf numFmtId="0" fontId="3" fillId="9" borderId="5" xfId="0" applyFont="1" applyFill="1" applyBorder="1" applyAlignment="1">
      <alignment horizontal="center" vertical="center" wrapText="1"/>
    </xf>
    <xf numFmtId="0" fontId="0" fillId="9" borderId="5" xfId="0" applyFill="1" applyBorder="1"/>
    <xf numFmtId="0" fontId="2" fillId="9" borderId="5" xfId="0" applyFont="1" applyFill="1" applyBorder="1" applyAlignment="1">
      <alignment horizontal="center" vertical="center" wrapText="1"/>
    </xf>
    <xf numFmtId="0" fontId="1" fillId="9" borderId="5" xfId="0" applyFont="1" applyFill="1" applyBorder="1"/>
    <xf numFmtId="0" fontId="1" fillId="9" borderId="0" xfId="0" applyFont="1" applyFill="1"/>
    <xf numFmtId="0" fontId="1" fillId="9" borderId="5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vertical="center" wrapText="1"/>
    </xf>
    <xf numFmtId="14" fontId="1" fillId="9" borderId="5" xfId="0" applyNumberFormat="1" applyFont="1" applyFill="1" applyBorder="1" applyAlignment="1">
      <alignment vertical="center" wrapText="1"/>
    </xf>
    <xf numFmtId="0" fontId="1" fillId="10" borderId="5" xfId="0" applyFont="1" applyFill="1" applyBorder="1" applyAlignment="1">
      <alignment horizontal="center"/>
    </xf>
    <xf numFmtId="0" fontId="1" fillId="10" borderId="5" xfId="0" applyFont="1" applyFill="1" applyBorder="1"/>
    <xf numFmtId="0" fontId="1" fillId="10" borderId="5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vertical="center" wrapText="1"/>
    </xf>
    <xf numFmtId="0" fontId="1" fillId="10" borderId="0" xfId="0" applyFont="1" applyFill="1" applyBorder="1" applyAlignment="1">
      <alignment vertical="center" wrapText="1"/>
    </xf>
    <xf numFmtId="0" fontId="3" fillId="1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BB07-D027-4B25-9D01-98142CB3766D}">
  <dimension ref="A1:U21"/>
  <sheetViews>
    <sheetView zoomScale="115" zoomScaleNormal="115" workbookViewId="0">
      <selection sqref="A1:F21"/>
    </sheetView>
  </sheetViews>
  <sheetFormatPr defaultRowHeight="14.4" x14ac:dyDescent="0.3"/>
  <cols>
    <col min="1" max="1" width="10" customWidth="1"/>
    <col min="2" max="2" width="10.44140625" customWidth="1"/>
    <col min="6" max="6" width="16.44140625" customWidth="1"/>
    <col min="9" max="9" width="7.88671875" bestFit="1" customWidth="1"/>
    <col min="10" max="10" width="9" bestFit="1" customWidth="1"/>
    <col min="11" max="11" width="7.109375" bestFit="1" customWidth="1"/>
    <col min="12" max="12" width="10.33203125" customWidth="1"/>
    <col min="14" max="14" width="16.5546875" bestFit="1" customWidth="1"/>
    <col min="16" max="16" width="7.6640625" customWidth="1"/>
    <col min="17" max="17" width="12" customWidth="1"/>
    <col min="18" max="18" width="12.109375" customWidth="1"/>
    <col min="19" max="19" width="14" customWidth="1"/>
    <col min="21" max="21" width="17.88671875" style="8" bestFit="1" customWidth="1"/>
  </cols>
  <sheetData>
    <row r="1" spans="1:21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I1" s="1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Q1" s="1" t="s">
        <v>61</v>
      </c>
      <c r="R1" s="2" t="s">
        <v>1</v>
      </c>
      <c r="S1" s="2" t="s">
        <v>62</v>
      </c>
      <c r="T1" s="2" t="s">
        <v>63</v>
      </c>
      <c r="U1" s="6" t="s">
        <v>64</v>
      </c>
    </row>
    <row r="2" spans="1:21" ht="29.4" thickBot="1" x14ac:dyDescent="0.35">
      <c r="A2" s="3">
        <v>1001</v>
      </c>
      <c r="B2" s="4" t="s">
        <v>6</v>
      </c>
      <c r="C2" s="4">
        <v>61</v>
      </c>
      <c r="D2" s="4">
        <v>48</v>
      </c>
      <c r="E2" s="4">
        <v>76</v>
      </c>
      <c r="F2" s="5">
        <v>43101</v>
      </c>
      <c r="I2" s="3">
        <v>2001</v>
      </c>
      <c r="J2" s="4" t="s">
        <v>32</v>
      </c>
      <c r="K2" s="4" t="s">
        <v>33</v>
      </c>
      <c r="L2" s="4" t="s">
        <v>34</v>
      </c>
      <c r="M2" s="4">
        <v>7048</v>
      </c>
      <c r="N2" s="5">
        <v>44927</v>
      </c>
      <c r="Q2" s="3">
        <v>3001</v>
      </c>
      <c r="R2" s="4" t="s">
        <v>65</v>
      </c>
      <c r="S2" s="4" t="s">
        <v>66</v>
      </c>
      <c r="T2" s="4">
        <v>86766</v>
      </c>
      <c r="U2" s="7">
        <v>42005</v>
      </c>
    </row>
    <row r="3" spans="1:21" ht="29.4" thickBot="1" x14ac:dyDescent="0.35">
      <c r="A3" s="3">
        <v>1002</v>
      </c>
      <c r="B3" s="4" t="s">
        <v>7</v>
      </c>
      <c r="C3" s="4">
        <v>78</v>
      </c>
      <c r="D3" s="4">
        <v>76</v>
      </c>
      <c r="E3" s="4">
        <v>70</v>
      </c>
      <c r="F3" s="5">
        <v>43281</v>
      </c>
      <c r="I3" s="3">
        <v>2002</v>
      </c>
      <c r="J3" s="4" t="s">
        <v>35</v>
      </c>
      <c r="K3" s="4" t="s">
        <v>36</v>
      </c>
      <c r="L3" s="4" t="s">
        <v>37</v>
      </c>
      <c r="M3" s="4">
        <v>17428</v>
      </c>
      <c r="N3" s="5">
        <v>44942</v>
      </c>
      <c r="Q3" s="3">
        <v>3002</v>
      </c>
      <c r="R3" s="4" t="s">
        <v>67</v>
      </c>
      <c r="S3" s="4" t="s">
        <v>66</v>
      </c>
      <c r="T3" s="4">
        <v>31943</v>
      </c>
      <c r="U3" s="7">
        <v>42255</v>
      </c>
    </row>
    <row r="4" spans="1:21" ht="29.4" thickBot="1" x14ac:dyDescent="0.35">
      <c r="A4" s="3">
        <v>1003</v>
      </c>
      <c r="B4" s="4" t="s">
        <v>8</v>
      </c>
      <c r="C4" s="4">
        <v>97</v>
      </c>
      <c r="D4" s="4">
        <v>60</v>
      </c>
      <c r="E4" s="4">
        <v>51</v>
      </c>
      <c r="F4" s="5">
        <v>43461</v>
      </c>
      <c r="I4" s="3">
        <v>2003</v>
      </c>
      <c r="J4" s="4" t="s">
        <v>38</v>
      </c>
      <c r="K4" s="4" t="s">
        <v>33</v>
      </c>
      <c r="L4" s="4" t="s">
        <v>39</v>
      </c>
      <c r="M4" s="4">
        <v>23672</v>
      </c>
      <c r="N4" s="5">
        <v>44957</v>
      </c>
      <c r="Q4" s="3">
        <v>3003</v>
      </c>
      <c r="R4" s="4" t="s">
        <v>68</v>
      </c>
      <c r="S4" s="4" t="s">
        <v>69</v>
      </c>
      <c r="T4" s="4">
        <v>63374</v>
      </c>
      <c r="U4" s="7">
        <v>42505</v>
      </c>
    </row>
    <row r="5" spans="1:21" ht="29.4" thickBot="1" x14ac:dyDescent="0.35">
      <c r="A5" s="3">
        <v>1004</v>
      </c>
      <c r="B5" s="4" t="s">
        <v>9</v>
      </c>
      <c r="C5" s="4">
        <v>74</v>
      </c>
      <c r="D5" s="4">
        <v>55</v>
      </c>
      <c r="E5" s="4">
        <v>46</v>
      </c>
      <c r="F5" s="5">
        <v>43641</v>
      </c>
      <c r="I5" s="3">
        <v>2004</v>
      </c>
      <c r="J5" s="4" t="s">
        <v>35</v>
      </c>
      <c r="K5" s="4" t="s">
        <v>40</v>
      </c>
      <c r="L5" s="4" t="s">
        <v>41</v>
      </c>
      <c r="M5" s="4">
        <v>5264</v>
      </c>
      <c r="N5" s="5">
        <v>44972</v>
      </c>
      <c r="Q5" s="3">
        <v>3004</v>
      </c>
      <c r="R5" s="4" t="s">
        <v>70</v>
      </c>
      <c r="S5" s="4" t="s">
        <v>66</v>
      </c>
      <c r="T5" s="4">
        <v>109972</v>
      </c>
      <c r="U5" s="7">
        <v>42755</v>
      </c>
    </row>
    <row r="6" spans="1:21" ht="29.4" thickBot="1" x14ac:dyDescent="0.35">
      <c r="A6" s="3">
        <v>1005</v>
      </c>
      <c r="B6" s="4" t="s">
        <v>10</v>
      </c>
      <c r="C6" s="4">
        <v>68</v>
      </c>
      <c r="D6" s="4">
        <v>74</v>
      </c>
      <c r="E6" s="4">
        <v>84</v>
      </c>
      <c r="F6" s="5">
        <v>43821</v>
      </c>
      <c r="I6" s="3">
        <v>2005</v>
      </c>
      <c r="J6" s="4" t="s">
        <v>32</v>
      </c>
      <c r="K6" s="4" t="s">
        <v>42</v>
      </c>
      <c r="L6" s="4" t="s">
        <v>43</v>
      </c>
      <c r="M6" s="4">
        <v>43388</v>
      </c>
      <c r="N6" s="5">
        <v>44987</v>
      </c>
      <c r="Q6" s="3">
        <v>3005</v>
      </c>
      <c r="R6" s="4" t="s">
        <v>71</v>
      </c>
      <c r="S6" s="4" t="s">
        <v>72</v>
      </c>
      <c r="T6" s="4">
        <v>54149</v>
      </c>
      <c r="U6" s="7">
        <v>43005</v>
      </c>
    </row>
    <row r="7" spans="1:21" ht="29.4" thickBot="1" x14ac:dyDescent="0.35">
      <c r="A7" s="3">
        <v>1006</v>
      </c>
      <c r="B7" s="4" t="s">
        <v>11</v>
      </c>
      <c r="C7" s="4">
        <v>80</v>
      </c>
      <c r="D7" s="4">
        <v>70</v>
      </c>
      <c r="E7" s="4">
        <v>65</v>
      </c>
      <c r="F7" s="5">
        <v>44001</v>
      </c>
      <c r="I7" s="3">
        <v>2006</v>
      </c>
      <c r="J7" s="4" t="s">
        <v>38</v>
      </c>
      <c r="K7" s="4" t="s">
        <v>42</v>
      </c>
      <c r="L7" s="4" t="s">
        <v>44</v>
      </c>
      <c r="M7" s="4">
        <v>19757</v>
      </c>
      <c r="N7" s="5">
        <v>45002</v>
      </c>
      <c r="Q7" s="3">
        <v>3006</v>
      </c>
      <c r="R7" s="4" t="s">
        <v>73</v>
      </c>
      <c r="S7" s="4" t="s">
        <v>72</v>
      </c>
      <c r="T7" s="4">
        <v>78689</v>
      </c>
      <c r="U7" s="7">
        <v>43255</v>
      </c>
    </row>
    <row r="8" spans="1:21" ht="29.4" thickBot="1" x14ac:dyDescent="0.35">
      <c r="A8" s="3">
        <v>1007</v>
      </c>
      <c r="B8" s="4" t="s">
        <v>12</v>
      </c>
      <c r="C8" s="4">
        <v>75</v>
      </c>
      <c r="D8" s="4">
        <v>47</v>
      </c>
      <c r="E8" s="4">
        <v>78</v>
      </c>
      <c r="F8" s="5">
        <v>44181</v>
      </c>
      <c r="I8" s="3">
        <v>2007</v>
      </c>
      <c r="J8" s="4" t="s">
        <v>38</v>
      </c>
      <c r="K8" s="4" t="s">
        <v>40</v>
      </c>
      <c r="L8" s="4" t="s">
        <v>45</v>
      </c>
      <c r="M8" s="4">
        <v>32058</v>
      </c>
      <c r="N8" s="5">
        <v>45017</v>
      </c>
      <c r="Q8" s="3">
        <v>3007</v>
      </c>
      <c r="R8" s="4" t="s">
        <v>74</v>
      </c>
      <c r="S8" s="4" t="s">
        <v>75</v>
      </c>
      <c r="T8" s="4">
        <v>35960</v>
      </c>
      <c r="U8" s="7">
        <v>43505</v>
      </c>
    </row>
    <row r="9" spans="1:21" ht="29.4" thickBot="1" x14ac:dyDescent="0.35">
      <c r="A9" s="3">
        <v>1008</v>
      </c>
      <c r="B9" s="4" t="s">
        <v>13</v>
      </c>
      <c r="C9" s="4">
        <v>94</v>
      </c>
      <c r="D9" s="4">
        <v>67</v>
      </c>
      <c r="E9" s="4">
        <v>64</v>
      </c>
      <c r="F9" s="5">
        <v>44361</v>
      </c>
      <c r="I9" s="3">
        <v>2008</v>
      </c>
      <c r="J9" s="4" t="s">
        <v>32</v>
      </c>
      <c r="K9" s="4" t="s">
        <v>40</v>
      </c>
      <c r="L9" s="4" t="s">
        <v>46</v>
      </c>
      <c r="M9" s="4">
        <v>46429</v>
      </c>
      <c r="N9" s="5">
        <v>45032</v>
      </c>
      <c r="Q9" s="3">
        <v>3008</v>
      </c>
      <c r="R9" s="4" t="s">
        <v>76</v>
      </c>
      <c r="S9" s="4" t="s">
        <v>72</v>
      </c>
      <c r="T9" s="4">
        <v>91659</v>
      </c>
      <c r="U9" s="7">
        <v>43755</v>
      </c>
    </row>
    <row r="10" spans="1:21" ht="29.4" thickBot="1" x14ac:dyDescent="0.35">
      <c r="A10" s="3">
        <v>1009</v>
      </c>
      <c r="B10" s="4" t="s">
        <v>14</v>
      </c>
      <c r="C10" s="4">
        <v>41</v>
      </c>
      <c r="D10" s="4">
        <v>75</v>
      </c>
      <c r="E10" s="4">
        <v>56</v>
      </c>
      <c r="F10" s="5">
        <v>44541</v>
      </c>
      <c r="I10" s="3">
        <v>2009</v>
      </c>
      <c r="J10" s="4" t="s">
        <v>35</v>
      </c>
      <c r="K10" s="4" t="s">
        <v>40</v>
      </c>
      <c r="L10" s="4" t="s">
        <v>47</v>
      </c>
      <c r="M10" s="4">
        <v>19746</v>
      </c>
      <c r="N10" s="5">
        <v>45047</v>
      </c>
      <c r="Q10" s="3">
        <v>3009</v>
      </c>
      <c r="R10" s="4" t="s">
        <v>77</v>
      </c>
      <c r="S10" s="4" t="s">
        <v>72</v>
      </c>
      <c r="T10" s="4">
        <v>90423</v>
      </c>
      <c r="U10" s="7">
        <v>44005</v>
      </c>
    </row>
    <row r="11" spans="1:21" ht="29.4" thickBot="1" x14ac:dyDescent="0.35">
      <c r="A11" s="3">
        <v>1010</v>
      </c>
      <c r="B11" s="4" t="s">
        <v>15</v>
      </c>
      <c r="C11" s="4">
        <v>98</v>
      </c>
      <c r="D11" s="4">
        <v>54</v>
      </c>
      <c r="E11" s="4">
        <v>58</v>
      </c>
      <c r="F11" s="5">
        <v>44721</v>
      </c>
      <c r="I11" s="3">
        <v>2010</v>
      </c>
      <c r="J11" s="4" t="s">
        <v>32</v>
      </c>
      <c r="K11" s="4" t="s">
        <v>33</v>
      </c>
      <c r="L11" s="4" t="s">
        <v>48</v>
      </c>
      <c r="M11" s="4">
        <v>35185</v>
      </c>
      <c r="N11" s="5">
        <v>45062</v>
      </c>
      <c r="Q11" s="3">
        <v>3010</v>
      </c>
      <c r="R11" s="4" t="s">
        <v>78</v>
      </c>
      <c r="S11" s="4" t="s">
        <v>69</v>
      </c>
      <c r="T11" s="4">
        <v>107877</v>
      </c>
      <c r="U11" s="7">
        <v>44255</v>
      </c>
    </row>
    <row r="12" spans="1:21" ht="29.4" thickBot="1" x14ac:dyDescent="0.35">
      <c r="A12" s="3">
        <v>1011</v>
      </c>
      <c r="B12" s="4" t="s">
        <v>16</v>
      </c>
      <c r="C12" s="4">
        <v>73</v>
      </c>
      <c r="D12" s="4">
        <v>79</v>
      </c>
      <c r="E12" s="4">
        <v>53</v>
      </c>
      <c r="F12" s="5">
        <v>44901</v>
      </c>
      <c r="I12" s="3">
        <v>2011</v>
      </c>
      <c r="J12" s="4" t="s">
        <v>32</v>
      </c>
      <c r="K12" s="4" t="s">
        <v>40</v>
      </c>
      <c r="L12" s="4" t="s">
        <v>49</v>
      </c>
      <c r="M12" s="4">
        <v>33920</v>
      </c>
      <c r="N12" s="5">
        <v>45077</v>
      </c>
      <c r="Q12" s="3">
        <v>3011</v>
      </c>
      <c r="R12" s="4" t="s">
        <v>79</v>
      </c>
      <c r="S12" s="4" t="s">
        <v>66</v>
      </c>
      <c r="T12" s="4">
        <v>107634</v>
      </c>
      <c r="U12" s="7">
        <v>44505</v>
      </c>
    </row>
    <row r="13" spans="1:21" ht="15" thickBot="1" x14ac:dyDescent="0.35">
      <c r="A13" s="3">
        <v>1012</v>
      </c>
      <c r="B13" s="4" t="s">
        <v>17</v>
      </c>
      <c r="C13" s="4">
        <v>85</v>
      </c>
      <c r="D13" s="4">
        <v>89</v>
      </c>
      <c r="E13" s="4">
        <v>79</v>
      </c>
      <c r="F13" s="5">
        <v>45081</v>
      </c>
      <c r="I13" s="3">
        <v>2012</v>
      </c>
      <c r="J13" s="4" t="s">
        <v>50</v>
      </c>
      <c r="K13" s="4" t="s">
        <v>42</v>
      </c>
      <c r="L13" s="4" t="s">
        <v>51</v>
      </c>
      <c r="M13" s="4">
        <v>35611</v>
      </c>
      <c r="N13" s="5">
        <v>45092</v>
      </c>
      <c r="Q13" s="3">
        <v>3012</v>
      </c>
      <c r="R13" s="4" t="s">
        <v>80</v>
      </c>
      <c r="S13" s="4" t="s">
        <v>66</v>
      </c>
      <c r="T13" s="4">
        <v>35226</v>
      </c>
      <c r="U13" s="7">
        <v>44755</v>
      </c>
    </row>
    <row r="14" spans="1:21" ht="15" thickBot="1" x14ac:dyDescent="0.35">
      <c r="A14" s="3">
        <v>1013</v>
      </c>
      <c r="B14" s="4" t="s">
        <v>18</v>
      </c>
      <c r="C14" s="4">
        <v>98</v>
      </c>
      <c r="D14" s="4">
        <v>90</v>
      </c>
      <c r="E14" s="4">
        <v>97</v>
      </c>
      <c r="F14" s="5">
        <v>45261</v>
      </c>
      <c r="I14" s="3">
        <v>2013</v>
      </c>
      <c r="J14" s="4" t="s">
        <v>52</v>
      </c>
      <c r="K14" s="4" t="s">
        <v>40</v>
      </c>
      <c r="L14" s="4" t="s">
        <v>53</v>
      </c>
      <c r="M14" s="4">
        <v>15560</v>
      </c>
      <c r="N14" s="5">
        <v>45107</v>
      </c>
      <c r="Q14" s="3">
        <v>3013</v>
      </c>
      <c r="R14" s="4" t="s">
        <v>81</v>
      </c>
      <c r="S14" s="4" t="s">
        <v>69</v>
      </c>
      <c r="T14" s="4">
        <v>40872</v>
      </c>
      <c r="U14" s="7">
        <v>45005</v>
      </c>
    </row>
    <row r="15" spans="1:21" ht="15" thickBot="1" x14ac:dyDescent="0.35">
      <c r="A15" s="3">
        <v>1014</v>
      </c>
      <c r="B15" s="4" t="s">
        <v>19</v>
      </c>
      <c r="C15" s="4">
        <v>93</v>
      </c>
      <c r="D15" s="4">
        <v>40</v>
      </c>
      <c r="E15" s="4">
        <v>44</v>
      </c>
      <c r="F15" s="5">
        <v>45441</v>
      </c>
      <c r="I15" s="3">
        <v>2014</v>
      </c>
      <c r="J15" s="4" t="s">
        <v>52</v>
      </c>
      <c r="K15" s="4" t="s">
        <v>33</v>
      </c>
      <c r="L15" s="4" t="s">
        <v>54</v>
      </c>
      <c r="M15" s="4">
        <v>7283</v>
      </c>
      <c r="N15" s="5">
        <v>45122</v>
      </c>
      <c r="Q15" s="3">
        <v>3014</v>
      </c>
      <c r="R15" s="4" t="s">
        <v>82</v>
      </c>
      <c r="S15" s="4" t="s">
        <v>69</v>
      </c>
      <c r="T15" s="4">
        <v>55378</v>
      </c>
      <c r="U15" s="7">
        <v>45255</v>
      </c>
    </row>
    <row r="16" spans="1:21" ht="15" thickBot="1" x14ac:dyDescent="0.35">
      <c r="A16" s="3">
        <v>1015</v>
      </c>
      <c r="B16" s="4" t="s">
        <v>20</v>
      </c>
      <c r="C16" s="4">
        <v>70</v>
      </c>
      <c r="D16" s="4">
        <v>51</v>
      </c>
      <c r="E16" s="4">
        <v>75</v>
      </c>
      <c r="F16" s="5">
        <v>45621</v>
      </c>
      <c r="I16" s="3">
        <v>2015</v>
      </c>
      <c r="J16" s="4" t="s">
        <v>52</v>
      </c>
      <c r="K16" s="4" t="s">
        <v>40</v>
      </c>
      <c r="L16" s="4" t="s">
        <v>55</v>
      </c>
      <c r="M16" s="4">
        <v>15678</v>
      </c>
      <c r="N16" s="5">
        <v>45137</v>
      </c>
      <c r="Q16" s="3">
        <v>3015</v>
      </c>
      <c r="R16" s="4" t="s">
        <v>83</v>
      </c>
      <c r="S16" s="4" t="s">
        <v>69</v>
      </c>
      <c r="T16" s="4">
        <v>63297</v>
      </c>
      <c r="U16" s="7">
        <v>45505</v>
      </c>
    </row>
    <row r="17" spans="1:21" ht="15" thickBot="1" x14ac:dyDescent="0.35">
      <c r="A17" s="3">
        <v>1016</v>
      </c>
      <c r="B17" s="4" t="s">
        <v>21</v>
      </c>
      <c r="C17" s="4">
        <v>98</v>
      </c>
      <c r="D17" s="4">
        <v>77</v>
      </c>
      <c r="E17" s="4">
        <v>60</v>
      </c>
      <c r="F17" s="5">
        <v>45801</v>
      </c>
      <c r="I17" s="3">
        <v>2016</v>
      </c>
      <c r="J17" s="4" t="s">
        <v>38</v>
      </c>
      <c r="K17" s="4" t="s">
        <v>40</v>
      </c>
      <c r="L17" s="4" t="s">
        <v>56</v>
      </c>
      <c r="M17" s="4">
        <v>5277</v>
      </c>
      <c r="N17" s="5">
        <v>45152</v>
      </c>
      <c r="Q17" s="3">
        <v>3016</v>
      </c>
      <c r="R17" s="4" t="s">
        <v>84</v>
      </c>
      <c r="S17" s="4" t="s">
        <v>66</v>
      </c>
      <c r="T17" s="4">
        <v>114173</v>
      </c>
      <c r="U17" s="7">
        <v>45755</v>
      </c>
    </row>
    <row r="18" spans="1:21" ht="15" thickBot="1" x14ac:dyDescent="0.35">
      <c r="A18" s="3">
        <v>1017</v>
      </c>
      <c r="B18" s="4" t="s">
        <v>22</v>
      </c>
      <c r="C18" s="4">
        <v>66</v>
      </c>
      <c r="D18" s="4">
        <v>59</v>
      </c>
      <c r="E18" s="4">
        <v>40</v>
      </c>
      <c r="F18" s="5">
        <v>45981</v>
      </c>
      <c r="I18" s="3">
        <v>2017</v>
      </c>
      <c r="J18" s="4" t="s">
        <v>50</v>
      </c>
      <c r="K18" s="4" t="s">
        <v>42</v>
      </c>
      <c r="L18" s="4" t="s">
        <v>57</v>
      </c>
      <c r="M18" s="4">
        <v>41871</v>
      </c>
      <c r="N18" s="5">
        <v>45167</v>
      </c>
      <c r="Q18" s="3">
        <v>3017</v>
      </c>
      <c r="R18" s="4" t="s">
        <v>85</v>
      </c>
      <c r="S18" s="4" t="s">
        <v>69</v>
      </c>
      <c r="T18" s="4">
        <v>86915</v>
      </c>
      <c r="U18" s="7">
        <v>46005</v>
      </c>
    </row>
    <row r="19" spans="1:21" ht="15" thickBot="1" x14ac:dyDescent="0.35">
      <c r="A19" s="3">
        <v>1018</v>
      </c>
      <c r="B19" s="4" t="s">
        <v>23</v>
      </c>
      <c r="C19" s="4">
        <v>82</v>
      </c>
      <c r="D19" s="4">
        <v>48</v>
      </c>
      <c r="E19" s="4">
        <v>79</v>
      </c>
      <c r="F19" s="5">
        <v>46161</v>
      </c>
      <c r="I19" s="3">
        <v>2018</v>
      </c>
      <c r="J19" s="4" t="s">
        <v>50</v>
      </c>
      <c r="K19" s="4" t="s">
        <v>36</v>
      </c>
      <c r="L19" s="4" t="s">
        <v>58</v>
      </c>
      <c r="M19" s="4">
        <v>38161</v>
      </c>
      <c r="N19" s="5">
        <v>45182</v>
      </c>
      <c r="Q19" s="3">
        <v>3018</v>
      </c>
      <c r="R19" s="4" t="s">
        <v>86</v>
      </c>
      <c r="S19" s="4" t="s">
        <v>72</v>
      </c>
      <c r="T19" s="4">
        <v>116284</v>
      </c>
      <c r="U19" s="7">
        <v>46255</v>
      </c>
    </row>
    <row r="20" spans="1:21" ht="15" thickBot="1" x14ac:dyDescent="0.35">
      <c r="A20" s="3">
        <v>1019</v>
      </c>
      <c r="B20" s="4" t="s">
        <v>24</v>
      </c>
      <c r="C20" s="4">
        <v>90</v>
      </c>
      <c r="D20" s="4">
        <v>78</v>
      </c>
      <c r="E20" s="4">
        <v>60</v>
      </c>
      <c r="F20" s="5">
        <v>46341</v>
      </c>
      <c r="I20" s="3">
        <v>2019</v>
      </c>
      <c r="J20" s="4" t="s">
        <v>38</v>
      </c>
      <c r="K20" s="4" t="s">
        <v>36</v>
      </c>
      <c r="L20" s="4" t="s">
        <v>59</v>
      </c>
      <c r="M20" s="4">
        <v>30436</v>
      </c>
      <c r="N20" s="5">
        <v>45197</v>
      </c>
      <c r="Q20" s="3">
        <v>3019</v>
      </c>
      <c r="R20" s="4" t="s">
        <v>87</v>
      </c>
      <c r="S20" s="4" t="s">
        <v>75</v>
      </c>
      <c r="T20" s="4">
        <v>116283</v>
      </c>
      <c r="U20" s="7">
        <v>46505</v>
      </c>
    </row>
    <row r="21" spans="1:21" ht="15" thickBot="1" x14ac:dyDescent="0.35">
      <c r="A21" s="3">
        <v>1020</v>
      </c>
      <c r="B21" s="4" t="s">
        <v>25</v>
      </c>
      <c r="C21" s="4">
        <v>83</v>
      </c>
      <c r="D21" s="4">
        <v>92</v>
      </c>
      <c r="E21" s="4">
        <v>55</v>
      </c>
      <c r="F21" s="5">
        <v>46521</v>
      </c>
      <c r="I21" s="3">
        <v>2020</v>
      </c>
      <c r="J21" s="4" t="s">
        <v>35</v>
      </c>
      <c r="K21" s="4" t="s">
        <v>36</v>
      </c>
      <c r="L21" s="4" t="s">
        <v>60</v>
      </c>
      <c r="M21" s="4">
        <v>33953</v>
      </c>
      <c r="N21" s="5">
        <v>45212</v>
      </c>
      <c r="Q21" s="3">
        <v>3020</v>
      </c>
      <c r="R21" s="4" t="s">
        <v>88</v>
      </c>
      <c r="S21" s="4" t="s">
        <v>75</v>
      </c>
      <c r="T21" s="4">
        <v>99924</v>
      </c>
      <c r="U21" s="7">
        <v>46755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6198-6F33-44EF-AB6F-A2BBA2307BBD}">
  <dimension ref="A1:P14"/>
  <sheetViews>
    <sheetView zoomScale="130" zoomScaleNormal="130" workbookViewId="0">
      <selection activeCell="H27" sqref="H27"/>
    </sheetView>
  </sheetViews>
  <sheetFormatPr defaultRowHeight="14.4" x14ac:dyDescent="0.3"/>
  <cols>
    <col min="16" max="16" width="12.109375" bestFit="1" customWidth="1"/>
  </cols>
  <sheetData>
    <row r="1" spans="1:16" ht="15" thickBot="1" x14ac:dyDescent="0.35"/>
    <row r="2" spans="1:16" ht="29.4" thickBot="1" x14ac:dyDescent="0.35">
      <c r="A2" s="15" t="s">
        <v>89</v>
      </c>
      <c r="B2" s="15" t="s">
        <v>90</v>
      </c>
      <c r="C2" s="1" t="s">
        <v>1</v>
      </c>
      <c r="D2" s="2" t="s">
        <v>2</v>
      </c>
      <c r="E2" s="2" t="s">
        <v>3</v>
      </c>
      <c r="F2" s="11" t="s">
        <v>4</v>
      </c>
      <c r="G2" s="12" t="s">
        <v>90</v>
      </c>
      <c r="I2" s="1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14" t="s">
        <v>99</v>
      </c>
    </row>
    <row r="3" spans="1:16" ht="15" thickBot="1" x14ac:dyDescent="0.35">
      <c r="A3" s="15" t="s">
        <v>91</v>
      </c>
      <c r="B3" s="15" t="s">
        <v>92</v>
      </c>
      <c r="C3" s="3" t="s">
        <v>6</v>
      </c>
      <c r="D3" s="4">
        <v>61</v>
      </c>
      <c r="E3" s="4">
        <v>48</v>
      </c>
      <c r="F3" s="10">
        <v>76</v>
      </c>
      <c r="G3" s="13" t="str" cm="1">
        <f t="array" ref="G3">_xlfn.IFS(D3&gt;=80,"A",D3&gt;=60,"B",D3&gt;=50,"C",TRUE,"fail")</f>
        <v>B</v>
      </c>
      <c r="I3" s="3">
        <v>2001</v>
      </c>
      <c r="J3" s="4" t="s">
        <v>32</v>
      </c>
      <c r="K3" s="4" t="s">
        <v>33</v>
      </c>
      <c r="L3" s="4" t="s">
        <v>34</v>
      </c>
      <c r="M3" s="10">
        <v>7048</v>
      </c>
      <c r="N3" s="13" cm="1">
        <f t="array" ref="N3">_xlfn.IFS(M3&gt;50000,M3*0.2,M3&lt;50000,M3*0.5)</f>
        <v>3524</v>
      </c>
      <c r="P3" s="15" t="s">
        <v>100</v>
      </c>
    </row>
    <row r="4" spans="1:16" ht="15" thickBot="1" x14ac:dyDescent="0.35">
      <c r="A4" s="15" t="s">
        <v>94</v>
      </c>
      <c r="B4" s="15" t="s">
        <v>93</v>
      </c>
      <c r="C4" s="3" t="s">
        <v>7</v>
      </c>
      <c r="D4" s="4">
        <v>78</v>
      </c>
      <c r="E4" s="4">
        <v>76</v>
      </c>
      <c r="F4" s="10">
        <v>70</v>
      </c>
      <c r="G4" s="13" t="str" cm="1">
        <f t="array" ref="G4">_xlfn.IFS(D4&gt;=80,"A",D4&gt;=60,"B",D4&gt;=50,"C",TRUE,"fail")</f>
        <v>B</v>
      </c>
      <c r="I4" s="3">
        <v>2002</v>
      </c>
      <c r="J4" s="4" t="s">
        <v>35</v>
      </c>
      <c r="K4" s="4" t="s">
        <v>36</v>
      </c>
      <c r="L4" s="4" t="s">
        <v>37</v>
      </c>
      <c r="M4" s="10">
        <v>17428</v>
      </c>
      <c r="N4" s="13" cm="1">
        <f t="array" ref="N4">_xlfn.IFS(M4&gt;50000,M4*0.2,M4&lt;50000,M4*0.5)</f>
        <v>8714</v>
      </c>
      <c r="P4" s="15" t="s">
        <v>101</v>
      </c>
    </row>
    <row r="5" spans="1:16" ht="15" thickBot="1" x14ac:dyDescent="0.35">
      <c r="A5" s="15" t="s">
        <v>95</v>
      </c>
      <c r="B5" s="15" t="s">
        <v>96</v>
      </c>
      <c r="C5" s="3" t="s">
        <v>8</v>
      </c>
      <c r="D5" s="4">
        <v>97</v>
      </c>
      <c r="E5" s="4">
        <v>60</v>
      </c>
      <c r="F5" s="10">
        <v>51</v>
      </c>
      <c r="G5" s="13" t="str" cm="1">
        <f t="array" ref="G5">_xlfn.IFS(D5&gt;=80,"A",D5&gt;=60,"B",D5&gt;=50,"C",TRUE,"fail")</f>
        <v>A</v>
      </c>
      <c r="I5" s="3">
        <v>2003</v>
      </c>
      <c r="J5" s="4" t="s">
        <v>38</v>
      </c>
      <c r="K5" s="4" t="s">
        <v>33</v>
      </c>
      <c r="L5" s="4" t="s">
        <v>39</v>
      </c>
      <c r="M5" s="10">
        <v>23672</v>
      </c>
      <c r="N5" s="13" cm="1">
        <f t="array" ref="N5">_xlfn.IFS(M5&gt;50000,M5*0.2,M5&lt;50000,M5*0.5)</f>
        <v>11836</v>
      </c>
    </row>
    <row r="6" spans="1:16" ht="15" thickBot="1" x14ac:dyDescent="0.35">
      <c r="A6" s="15" t="s">
        <v>97</v>
      </c>
      <c r="B6" s="15" t="s">
        <v>98</v>
      </c>
      <c r="C6" s="3" t="s">
        <v>9</v>
      </c>
      <c r="D6" s="4">
        <v>74</v>
      </c>
      <c r="E6" s="4">
        <v>55</v>
      </c>
      <c r="F6" s="10">
        <v>46</v>
      </c>
      <c r="G6" s="13" t="str" cm="1">
        <f t="array" ref="G6">_xlfn.IFS(D6&gt;=80,"A",D6&gt;=60,"B",D6&gt;=50,"C",TRUE,"fail")</f>
        <v>B</v>
      </c>
      <c r="I6" s="3">
        <v>2004</v>
      </c>
      <c r="J6" s="4" t="s">
        <v>35</v>
      </c>
      <c r="K6" s="4" t="s">
        <v>40</v>
      </c>
      <c r="L6" s="4" t="s">
        <v>41</v>
      </c>
      <c r="M6" s="10">
        <v>5264</v>
      </c>
      <c r="N6" s="13" cm="1">
        <f t="array" ref="N6">_xlfn.IFS(M6&gt;50000,M6*0.2,M6&lt;50000,M6*0.5)</f>
        <v>2632</v>
      </c>
    </row>
    <row r="7" spans="1:16" ht="15" thickBot="1" x14ac:dyDescent="0.35">
      <c r="C7" s="3" t="s">
        <v>10</v>
      </c>
      <c r="D7" s="4">
        <v>68</v>
      </c>
      <c r="E7" s="4">
        <v>74</v>
      </c>
      <c r="F7" s="10">
        <v>84</v>
      </c>
      <c r="G7" s="13" t="str" cm="1">
        <f t="array" ref="G7">_xlfn.IFS(D7&gt;=80,"A",D7&gt;=60,"B",D7&gt;=50,"C",TRUE,"fail")</f>
        <v>B</v>
      </c>
      <c r="I7" s="3">
        <v>2005</v>
      </c>
      <c r="J7" s="4" t="s">
        <v>32</v>
      </c>
      <c r="K7" s="4" t="s">
        <v>42</v>
      </c>
      <c r="L7" s="4" t="s">
        <v>43</v>
      </c>
      <c r="M7" s="10">
        <v>43388</v>
      </c>
      <c r="N7" s="13" cm="1">
        <f t="array" ref="N7">_xlfn.IFS(M7&gt;50000,M7*0.2,M7&lt;50000,M7*0.5)</f>
        <v>21694</v>
      </c>
    </row>
    <row r="8" spans="1:16" ht="15" thickBot="1" x14ac:dyDescent="0.35">
      <c r="C8" s="3" t="s">
        <v>11</v>
      </c>
      <c r="D8" s="4">
        <v>80</v>
      </c>
      <c r="E8" s="4">
        <v>70</v>
      </c>
      <c r="F8" s="10">
        <v>65</v>
      </c>
      <c r="G8" s="13" t="str" cm="1">
        <f t="array" ref="G8">_xlfn.IFS(D8&gt;=80,"A",D8&gt;=60,"B",D8&gt;=50,"C",TRUE,"fail")</f>
        <v>A</v>
      </c>
      <c r="I8" s="3">
        <v>2006</v>
      </c>
      <c r="J8" s="4" t="s">
        <v>38</v>
      </c>
      <c r="K8" s="4" t="s">
        <v>42</v>
      </c>
      <c r="L8" s="4" t="s">
        <v>44</v>
      </c>
      <c r="M8" s="10">
        <v>19757</v>
      </c>
      <c r="N8" s="13" cm="1">
        <f t="array" ref="N8">_xlfn.IFS(M8&gt;50000,M8*0.2,M8&lt;50000,M8*0.5)</f>
        <v>9878.5</v>
      </c>
    </row>
    <row r="9" spans="1:16" ht="15" thickBot="1" x14ac:dyDescent="0.35">
      <c r="C9" s="3" t="s">
        <v>12</v>
      </c>
      <c r="D9" s="4">
        <v>75</v>
      </c>
      <c r="E9" s="4">
        <v>47</v>
      </c>
      <c r="F9" s="10">
        <v>78</v>
      </c>
      <c r="G9" s="13" t="str" cm="1">
        <f t="array" ref="G9">_xlfn.IFS(D9&gt;=80,"A",D9&gt;=60,"B",D9&gt;=50,"C",TRUE,"fail")</f>
        <v>B</v>
      </c>
      <c r="I9" s="3">
        <v>2007</v>
      </c>
      <c r="J9" s="4" t="s">
        <v>38</v>
      </c>
      <c r="K9" s="4" t="s">
        <v>40</v>
      </c>
      <c r="L9" s="4" t="s">
        <v>45</v>
      </c>
      <c r="M9" s="10">
        <v>32058</v>
      </c>
      <c r="N9" s="13" cm="1">
        <f t="array" ref="N9">_xlfn.IFS(M9&gt;50000,M9*0.2,M9&lt;50000,M9*0.5)</f>
        <v>16029</v>
      </c>
    </row>
    <row r="10" spans="1:16" ht="15" thickBot="1" x14ac:dyDescent="0.35">
      <c r="C10" s="3" t="s">
        <v>13</v>
      </c>
      <c r="D10" s="4">
        <v>94</v>
      </c>
      <c r="E10" s="4">
        <v>67</v>
      </c>
      <c r="F10" s="10">
        <v>64</v>
      </c>
      <c r="G10" s="13" t="str" cm="1">
        <f t="array" ref="G10">_xlfn.IFS(D10&gt;=80,"A",D10&gt;=60,"B",D10&gt;=50,"C",TRUE,"fail")</f>
        <v>A</v>
      </c>
      <c r="I10" s="3">
        <v>2008</v>
      </c>
      <c r="J10" s="4" t="s">
        <v>32</v>
      </c>
      <c r="K10" s="4" t="s">
        <v>40</v>
      </c>
      <c r="L10" s="4" t="s">
        <v>46</v>
      </c>
      <c r="M10" s="10">
        <v>46429</v>
      </c>
      <c r="N10" s="13" cm="1">
        <f t="array" ref="N10">_xlfn.IFS(M10&gt;50000,M10*0.2,M10&lt;50000,M10*0.5)</f>
        <v>23214.5</v>
      </c>
    </row>
    <row r="11" spans="1:16" ht="15" thickBot="1" x14ac:dyDescent="0.35">
      <c r="C11" s="3" t="s">
        <v>14</v>
      </c>
      <c r="D11" s="4">
        <v>41</v>
      </c>
      <c r="E11" s="4">
        <v>75</v>
      </c>
      <c r="F11" s="10">
        <v>56</v>
      </c>
      <c r="G11" s="13" t="str" cm="1">
        <f t="array" ref="G11">_xlfn.IFS(D11&gt;=80,"A",D11&gt;=60,"B",D11&gt;=50,"C",TRUE,"fail")</f>
        <v>fail</v>
      </c>
      <c r="I11" s="3">
        <v>2009</v>
      </c>
      <c r="J11" s="4" t="s">
        <v>35</v>
      </c>
      <c r="K11" s="4" t="s">
        <v>40</v>
      </c>
      <c r="L11" s="4" t="s">
        <v>47</v>
      </c>
      <c r="M11" s="10">
        <v>19746</v>
      </c>
      <c r="N11" s="13" cm="1">
        <f t="array" ref="N11">_xlfn.IFS(M11&gt;50000,M11*0.2,M11&lt;50000,M11*0.5)</f>
        <v>9873</v>
      </c>
    </row>
    <row r="12" spans="1:16" ht="29.4" thickBot="1" x14ac:dyDescent="0.35">
      <c r="C12" s="3" t="s">
        <v>15</v>
      </c>
      <c r="D12" s="4">
        <v>98</v>
      </c>
      <c r="E12" s="4">
        <v>54</v>
      </c>
      <c r="F12" s="10">
        <v>58</v>
      </c>
      <c r="G12" s="13" t="str" cm="1">
        <f t="array" ref="G12">_xlfn.IFS(D12&gt;=80,"A",D12&gt;=60,"B",D12&gt;=50,"C",TRUE,"fail")</f>
        <v>A</v>
      </c>
      <c r="I12" s="3">
        <v>2010</v>
      </c>
      <c r="J12" s="4" t="s">
        <v>32</v>
      </c>
      <c r="K12" s="4" t="s">
        <v>33</v>
      </c>
      <c r="L12" s="4" t="s">
        <v>48</v>
      </c>
      <c r="M12" s="10">
        <v>35185</v>
      </c>
      <c r="N12" s="13" cm="1">
        <f t="array" ref="N12">_xlfn.IFS(M12&gt;50000,M12*0.2,M12&lt;50000,M12*0.5)</f>
        <v>17592.5</v>
      </c>
    </row>
    <row r="13" spans="1:16" ht="29.4" thickBot="1" x14ac:dyDescent="0.35">
      <c r="C13" s="3" t="s">
        <v>16</v>
      </c>
      <c r="D13" s="4">
        <v>73</v>
      </c>
      <c r="E13" s="4">
        <v>79</v>
      </c>
      <c r="F13" s="10">
        <v>53</v>
      </c>
      <c r="G13" s="13" t="str" cm="1">
        <f t="array" ref="G13">_xlfn.IFS(D13&gt;=80,"A",D13&gt;=60,"B",D13&gt;=50,"C",TRUE,"fail")</f>
        <v>B</v>
      </c>
      <c r="I13" s="3">
        <v>2011</v>
      </c>
      <c r="J13" s="4" t="s">
        <v>32</v>
      </c>
      <c r="K13" s="4" t="s">
        <v>40</v>
      </c>
      <c r="L13" s="4" t="s">
        <v>49</v>
      </c>
      <c r="M13" s="10">
        <v>33920</v>
      </c>
      <c r="N13" s="13" cm="1">
        <f t="array" ref="N13">_xlfn.IFS(M13&gt;50000,M13*0.2,M13&lt;50000,M13*0.5)</f>
        <v>16960</v>
      </c>
    </row>
    <row r="14" spans="1:16" ht="29.4" thickBot="1" x14ac:dyDescent="0.35">
      <c r="C14" s="3" t="s">
        <v>17</v>
      </c>
      <c r="D14" s="4">
        <v>85</v>
      </c>
      <c r="E14" s="4">
        <v>89</v>
      </c>
      <c r="F14" s="10">
        <v>79</v>
      </c>
      <c r="G14" s="13" t="str" cm="1">
        <f t="array" ref="G14">_xlfn.IFS(D14&gt;=80,"A",D14&gt;=60,"B",D14&gt;=50,"C",TRUE,"fail")</f>
        <v>A</v>
      </c>
      <c r="I14" s="3">
        <v>2012</v>
      </c>
      <c r="J14" s="4" t="s">
        <v>50</v>
      </c>
      <c r="K14" s="4" t="s">
        <v>42</v>
      </c>
      <c r="L14" s="4" t="s">
        <v>51</v>
      </c>
      <c r="M14" s="10">
        <v>35611</v>
      </c>
      <c r="N14" s="13" cm="1">
        <f t="array" ref="N14">_xlfn.IFS(M14&gt;50000,M14*0.2,M14&lt;50000,M14*0.5)</f>
        <v>17805.5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2890-C372-4D34-923B-A499F0B6D85F}">
  <dimension ref="A1:L10"/>
  <sheetViews>
    <sheetView topLeftCell="C1" zoomScaleNormal="100" workbookViewId="0">
      <selection activeCell="K18" sqref="K18"/>
    </sheetView>
  </sheetViews>
  <sheetFormatPr defaultRowHeight="14.4" x14ac:dyDescent="0.3"/>
  <cols>
    <col min="1" max="1" width="9.33203125" bestFit="1" customWidth="1"/>
    <col min="2" max="2" width="5.6640625" bestFit="1" customWidth="1"/>
    <col min="3" max="3" width="7.44140625" bestFit="1" customWidth="1"/>
    <col min="4" max="4" width="7.109375" bestFit="1" customWidth="1"/>
    <col min="5" max="5" width="10.44140625" customWidth="1"/>
  </cols>
  <sheetData>
    <row r="1" spans="1:12" ht="15" thickBot="1" x14ac:dyDescent="0.35">
      <c r="A1" s="1" t="s">
        <v>1</v>
      </c>
      <c r="B1" s="2" t="s">
        <v>2</v>
      </c>
      <c r="C1" s="2" t="s">
        <v>3</v>
      </c>
      <c r="D1" s="11" t="s">
        <v>4</v>
      </c>
      <c r="E1" s="16" t="s">
        <v>102</v>
      </c>
    </row>
    <row r="2" spans="1:12" ht="29.4" thickBot="1" x14ac:dyDescent="0.35">
      <c r="A2" s="3" t="s">
        <v>6</v>
      </c>
      <c r="B2" s="4">
        <v>61</v>
      </c>
      <c r="C2" s="4">
        <v>48</v>
      </c>
      <c r="D2" s="10">
        <v>76</v>
      </c>
      <c r="E2" s="11" t="str">
        <f>IF(AND(B2&gt;80,C2&gt;80),"yup","nope")</f>
        <v>nope</v>
      </c>
      <c r="G2" s="1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14" t="s">
        <v>103</v>
      </c>
    </row>
    <row r="3" spans="1:12" ht="15" thickBot="1" x14ac:dyDescent="0.35">
      <c r="A3" s="3" t="s">
        <v>7</v>
      </c>
      <c r="B3" s="4">
        <v>82</v>
      </c>
      <c r="C3" s="4">
        <v>81</v>
      </c>
      <c r="D3" s="10">
        <v>70</v>
      </c>
      <c r="E3" s="17" t="str">
        <f t="shared" ref="E3:E9" si="0">IF(AND(B3&gt;80,C3&gt;80),"yup","nope")</f>
        <v>yup</v>
      </c>
      <c r="G3" s="3">
        <v>2001</v>
      </c>
      <c r="H3" s="4" t="s">
        <v>32</v>
      </c>
      <c r="I3" s="4" t="s">
        <v>33</v>
      </c>
      <c r="J3" s="4" t="s">
        <v>34</v>
      </c>
      <c r="K3" s="4">
        <v>7048</v>
      </c>
      <c r="L3" t="str">
        <f>IF(OR(K3&gt;10000,I3="south"),"eligible","nah")</f>
        <v>eligible</v>
      </c>
    </row>
    <row r="4" spans="1:12" ht="15" thickBot="1" x14ac:dyDescent="0.35">
      <c r="A4" s="3" t="s">
        <v>8</v>
      </c>
      <c r="B4" s="4">
        <v>97</v>
      </c>
      <c r="C4" s="4">
        <v>60</v>
      </c>
      <c r="D4" s="10">
        <v>51</v>
      </c>
      <c r="E4" s="10" t="str">
        <f t="shared" si="0"/>
        <v>nope</v>
      </c>
      <c r="G4" s="3">
        <v>2002</v>
      </c>
      <c r="H4" s="4" t="s">
        <v>35</v>
      </c>
      <c r="I4" s="4" t="s">
        <v>36</v>
      </c>
      <c r="J4" s="4" t="s">
        <v>37</v>
      </c>
      <c r="K4" s="4">
        <v>17428</v>
      </c>
      <c r="L4" t="str">
        <f t="shared" ref="L4:L10" si="1">IF(OR(K4&gt;10000,I4="south"),"eligible","nah")</f>
        <v>eligible</v>
      </c>
    </row>
    <row r="5" spans="1:12" ht="15" thickBot="1" x14ac:dyDescent="0.35">
      <c r="A5" s="3" t="s">
        <v>9</v>
      </c>
      <c r="B5" s="4">
        <v>74</v>
      </c>
      <c r="C5" s="4">
        <v>55</v>
      </c>
      <c r="D5" s="10">
        <v>46</v>
      </c>
      <c r="E5" s="10" t="str">
        <f t="shared" si="0"/>
        <v>nope</v>
      </c>
      <c r="G5" s="3">
        <v>2003</v>
      </c>
      <c r="H5" s="4" t="s">
        <v>38</v>
      </c>
      <c r="I5" s="4" t="s">
        <v>33</v>
      </c>
      <c r="J5" s="4" t="s">
        <v>39</v>
      </c>
      <c r="K5" s="4">
        <v>23672</v>
      </c>
      <c r="L5" t="str">
        <f t="shared" si="1"/>
        <v>eligible</v>
      </c>
    </row>
    <row r="6" spans="1:12" ht="15" thickBot="1" x14ac:dyDescent="0.35">
      <c r="A6" s="3" t="s">
        <v>10</v>
      </c>
      <c r="B6" s="4">
        <v>68</v>
      </c>
      <c r="C6" s="4">
        <v>74</v>
      </c>
      <c r="D6" s="10">
        <v>84</v>
      </c>
      <c r="E6" s="10" t="str">
        <f t="shared" si="0"/>
        <v>nope</v>
      </c>
      <c r="G6" s="3">
        <v>2004</v>
      </c>
      <c r="H6" s="4" t="s">
        <v>35</v>
      </c>
      <c r="I6" s="4" t="s">
        <v>40</v>
      </c>
      <c r="J6" s="4" t="s">
        <v>41</v>
      </c>
      <c r="K6" s="4">
        <v>5264</v>
      </c>
      <c r="L6" t="str">
        <f t="shared" si="1"/>
        <v>nah</v>
      </c>
    </row>
    <row r="7" spans="1:12" ht="15" thickBot="1" x14ac:dyDescent="0.35">
      <c r="A7" s="3" t="s">
        <v>11</v>
      </c>
      <c r="B7" s="4">
        <v>80</v>
      </c>
      <c r="C7" s="4">
        <v>70</v>
      </c>
      <c r="D7" s="10">
        <v>65</v>
      </c>
      <c r="E7" s="10" t="str">
        <f t="shared" si="0"/>
        <v>nope</v>
      </c>
      <c r="G7" s="3">
        <v>2005</v>
      </c>
      <c r="H7" s="4" t="s">
        <v>32</v>
      </c>
      <c r="I7" s="4" t="s">
        <v>42</v>
      </c>
      <c r="J7" s="4" t="s">
        <v>43</v>
      </c>
      <c r="K7" s="4">
        <v>43388</v>
      </c>
      <c r="L7" t="str">
        <f t="shared" si="1"/>
        <v>eligible</v>
      </c>
    </row>
    <row r="8" spans="1:12" ht="15" thickBot="1" x14ac:dyDescent="0.35">
      <c r="A8" s="3" t="s">
        <v>12</v>
      </c>
      <c r="B8" s="4">
        <v>75</v>
      </c>
      <c r="C8" s="4">
        <v>47</v>
      </c>
      <c r="D8" s="10">
        <v>78</v>
      </c>
      <c r="E8" s="10" t="str">
        <f t="shared" si="0"/>
        <v>nope</v>
      </c>
      <c r="G8" s="3">
        <v>2006</v>
      </c>
      <c r="H8" s="4" t="s">
        <v>38</v>
      </c>
      <c r="I8" s="4" t="s">
        <v>42</v>
      </c>
      <c r="J8" s="4" t="s">
        <v>44</v>
      </c>
      <c r="K8" s="4">
        <v>19757</v>
      </c>
      <c r="L8" t="str">
        <f t="shared" si="1"/>
        <v>eligible</v>
      </c>
    </row>
    <row r="9" spans="1:12" ht="15" thickBot="1" x14ac:dyDescent="0.35">
      <c r="A9" s="3" t="s">
        <v>13</v>
      </c>
      <c r="B9" s="4">
        <v>94</v>
      </c>
      <c r="C9" s="4">
        <v>67</v>
      </c>
      <c r="D9" s="10">
        <v>64</v>
      </c>
      <c r="E9" s="10" t="str">
        <f t="shared" si="0"/>
        <v>nope</v>
      </c>
      <c r="G9" s="3">
        <v>2007</v>
      </c>
      <c r="H9" s="4" t="s">
        <v>38</v>
      </c>
      <c r="I9" s="4" t="s">
        <v>40</v>
      </c>
      <c r="J9" s="4" t="s">
        <v>45</v>
      </c>
      <c r="K9" s="4">
        <v>32058</v>
      </c>
      <c r="L9" t="str">
        <f t="shared" si="1"/>
        <v>eligible</v>
      </c>
    </row>
    <row r="10" spans="1:12" ht="15" thickBot="1" x14ac:dyDescent="0.35">
      <c r="G10" s="3">
        <v>2008</v>
      </c>
      <c r="H10" s="4" t="s">
        <v>32</v>
      </c>
      <c r="I10" s="4" t="s">
        <v>40</v>
      </c>
      <c r="J10" s="4" t="s">
        <v>46</v>
      </c>
      <c r="K10" s="4">
        <v>46429</v>
      </c>
      <c r="L10" t="str">
        <f t="shared" si="1"/>
        <v>eligible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758DA-A63E-4133-A8CB-37CBE226D08B}">
  <dimension ref="A1:K17"/>
  <sheetViews>
    <sheetView workbookViewId="0">
      <selection activeCell="H14" sqref="H14"/>
    </sheetView>
  </sheetViews>
  <sheetFormatPr defaultRowHeight="14.4" x14ac:dyDescent="0.3"/>
  <sheetData>
    <row r="1" spans="1:11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11" t="s">
        <v>4</v>
      </c>
    </row>
    <row r="2" spans="1:11" ht="29.4" thickBot="1" x14ac:dyDescent="0.35">
      <c r="A2" s="3">
        <v>1001</v>
      </c>
      <c r="B2" s="4" t="s">
        <v>6</v>
      </c>
      <c r="C2" s="4">
        <v>61</v>
      </c>
      <c r="D2" s="4">
        <v>48</v>
      </c>
      <c r="E2" s="10">
        <v>76</v>
      </c>
      <c r="G2" s="1" t="s">
        <v>26</v>
      </c>
      <c r="H2" s="2" t="s">
        <v>27</v>
      </c>
      <c r="I2" s="2" t="s">
        <v>28</v>
      </c>
      <c r="J2" s="2" t="s">
        <v>29</v>
      </c>
      <c r="K2" s="2" t="s">
        <v>30</v>
      </c>
    </row>
    <row r="3" spans="1:11" ht="15" thickBot="1" x14ac:dyDescent="0.35">
      <c r="A3" s="3">
        <v>1002</v>
      </c>
      <c r="B3" s="4" t="s">
        <v>7</v>
      </c>
      <c r="C3" s="4">
        <v>78</v>
      </c>
      <c r="D3" s="4">
        <v>76</v>
      </c>
      <c r="E3" s="10">
        <v>70</v>
      </c>
      <c r="G3" s="3">
        <v>2001</v>
      </c>
      <c r="H3" s="4" t="s">
        <v>32</v>
      </c>
      <c r="I3" s="4" t="s">
        <v>33</v>
      </c>
      <c r="J3" s="4" t="s">
        <v>34</v>
      </c>
      <c r="K3" s="4">
        <v>7048</v>
      </c>
    </row>
    <row r="4" spans="1:11" ht="15" thickBot="1" x14ac:dyDescent="0.35">
      <c r="A4" s="3">
        <v>1003</v>
      </c>
      <c r="B4" s="4" t="s">
        <v>8</v>
      </c>
      <c r="C4" s="4">
        <v>97</v>
      </c>
      <c r="D4" s="4">
        <v>60</v>
      </c>
      <c r="E4" s="10">
        <v>51</v>
      </c>
      <c r="G4" s="3">
        <v>2002</v>
      </c>
      <c r="H4" s="4" t="s">
        <v>35</v>
      </c>
      <c r="I4" s="4" t="s">
        <v>36</v>
      </c>
      <c r="J4" s="4" t="s">
        <v>37</v>
      </c>
      <c r="K4" s="4">
        <v>17428</v>
      </c>
    </row>
    <row r="5" spans="1:11" ht="15" thickBot="1" x14ac:dyDescent="0.35">
      <c r="A5" s="3">
        <v>1004</v>
      </c>
      <c r="B5" s="4" t="s">
        <v>9</v>
      </c>
      <c r="C5" s="4">
        <v>74</v>
      </c>
      <c r="D5" s="4">
        <v>55</v>
      </c>
      <c r="E5" s="10">
        <v>46</v>
      </c>
      <c r="G5" s="3">
        <v>2003</v>
      </c>
      <c r="H5" s="4" t="s">
        <v>38</v>
      </c>
      <c r="I5" s="4" t="s">
        <v>33</v>
      </c>
      <c r="J5" s="4" t="s">
        <v>39</v>
      </c>
      <c r="K5" s="4">
        <v>23672</v>
      </c>
    </row>
    <row r="6" spans="1:11" ht="15" thickBot="1" x14ac:dyDescent="0.35">
      <c r="A6" s="3">
        <v>1005</v>
      </c>
      <c r="B6" s="4" t="s">
        <v>10</v>
      </c>
      <c r="C6" s="4">
        <v>68</v>
      </c>
      <c r="D6" s="4">
        <v>74</v>
      </c>
      <c r="E6" s="10">
        <v>84</v>
      </c>
      <c r="G6" s="3">
        <v>2004</v>
      </c>
      <c r="H6" s="4" t="s">
        <v>35</v>
      </c>
      <c r="I6" s="4" t="s">
        <v>40</v>
      </c>
      <c r="J6" s="4" t="s">
        <v>41</v>
      </c>
      <c r="K6" s="4">
        <v>5264</v>
      </c>
    </row>
    <row r="7" spans="1:11" ht="15" thickBot="1" x14ac:dyDescent="0.35">
      <c r="A7" s="3">
        <v>1006</v>
      </c>
      <c r="B7" s="4" t="s">
        <v>11</v>
      </c>
      <c r="C7" s="4">
        <v>80</v>
      </c>
      <c r="D7" s="4">
        <v>70</v>
      </c>
      <c r="E7" s="10">
        <v>65</v>
      </c>
      <c r="G7" s="3">
        <v>2005</v>
      </c>
      <c r="H7" s="4" t="s">
        <v>32</v>
      </c>
      <c r="I7" s="4" t="s">
        <v>42</v>
      </c>
      <c r="J7" s="4" t="s">
        <v>43</v>
      </c>
      <c r="K7" s="4">
        <v>43388</v>
      </c>
    </row>
    <row r="8" spans="1:11" ht="15" thickBot="1" x14ac:dyDescent="0.35">
      <c r="A8" s="3">
        <v>1007</v>
      </c>
      <c r="B8" s="4" t="s">
        <v>12</v>
      </c>
      <c r="C8" s="4">
        <v>75</v>
      </c>
      <c r="D8" s="4">
        <v>47</v>
      </c>
      <c r="E8" s="10">
        <v>78</v>
      </c>
      <c r="G8" s="3">
        <v>2006</v>
      </c>
      <c r="H8" s="4" t="s">
        <v>38</v>
      </c>
      <c r="I8" s="4" t="s">
        <v>42</v>
      </c>
      <c r="J8" s="4" t="s">
        <v>44</v>
      </c>
      <c r="K8" s="4">
        <v>19757</v>
      </c>
    </row>
    <row r="9" spans="1:11" ht="15" thickBot="1" x14ac:dyDescent="0.35">
      <c r="A9" s="3">
        <v>1008</v>
      </c>
      <c r="B9" s="4" t="s">
        <v>13</v>
      </c>
      <c r="C9" s="4">
        <v>94</v>
      </c>
      <c r="D9" s="4">
        <v>67</v>
      </c>
      <c r="E9" s="10">
        <v>64</v>
      </c>
      <c r="G9" s="3">
        <v>2007</v>
      </c>
      <c r="H9" s="4" t="s">
        <v>38</v>
      </c>
      <c r="I9" s="4" t="s">
        <v>40</v>
      </c>
      <c r="J9" s="4" t="s">
        <v>45</v>
      </c>
      <c r="K9" s="4">
        <v>32058</v>
      </c>
    </row>
    <row r="10" spans="1:11" ht="15" thickBot="1" x14ac:dyDescent="0.35">
      <c r="A10" s="3">
        <v>1009</v>
      </c>
      <c r="B10" s="4" t="s">
        <v>14</v>
      </c>
      <c r="C10" s="4">
        <v>41</v>
      </c>
      <c r="D10" s="4">
        <v>75</v>
      </c>
      <c r="E10" s="10">
        <v>56</v>
      </c>
      <c r="G10" s="3">
        <v>2008</v>
      </c>
      <c r="H10" s="4" t="s">
        <v>32</v>
      </c>
      <c r="I10" s="4" t="s">
        <v>40</v>
      </c>
      <c r="J10" s="4" t="s">
        <v>46</v>
      </c>
      <c r="K10" s="4">
        <v>46429</v>
      </c>
    </row>
    <row r="11" spans="1:11" ht="29.4" thickBot="1" x14ac:dyDescent="0.35">
      <c r="A11" s="3">
        <v>1010</v>
      </c>
      <c r="B11" s="4" t="s">
        <v>15</v>
      </c>
      <c r="C11" s="4">
        <v>98</v>
      </c>
      <c r="D11" s="4">
        <v>54</v>
      </c>
      <c r="E11" s="10">
        <v>58</v>
      </c>
      <c r="G11" s="3">
        <v>2009</v>
      </c>
      <c r="H11" s="4" t="s">
        <v>35</v>
      </c>
      <c r="I11" s="4" t="s">
        <v>40</v>
      </c>
      <c r="J11" s="4" t="s">
        <v>47</v>
      </c>
      <c r="K11" s="4">
        <v>19746</v>
      </c>
    </row>
    <row r="12" spans="1:11" ht="29.4" thickBot="1" x14ac:dyDescent="0.35">
      <c r="A12" s="3">
        <v>1011</v>
      </c>
      <c r="B12" s="4" t="s">
        <v>16</v>
      </c>
      <c r="C12" s="4">
        <v>73</v>
      </c>
      <c r="D12" s="4">
        <v>79</v>
      </c>
      <c r="E12" s="10">
        <v>53</v>
      </c>
      <c r="G12" s="3">
        <v>2010</v>
      </c>
      <c r="H12" s="4" t="s">
        <v>32</v>
      </c>
      <c r="I12" s="4" t="s">
        <v>33</v>
      </c>
      <c r="J12" s="4" t="s">
        <v>48</v>
      </c>
      <c r="K12" s="4">
        <v>35185</v>
      </c>
    </row>
    <row r="13" spans="1:11" ht="29.4" thickBot="1" x14ac:dyDescent="0.35">
      <c r="A13" s="3">
        <v>1012</v>
      </c>
      <c r="B13" s="4" t="s">
        <v>17</v>
      </c>
      <c r="C13" s="4">
        <v>85</v>
      </c>
      <c r="D13" s="4">
        <v>89</v>
      </c>
      <c r="E13" s="10">
        <v>79</v>
      </c>
    </row>
    <row r="14" spans="1:11" ht="29.4" thickBot="1" x14ac:dyDescent="0.35">
      <c r="A14" s="3">
        <v>1013</v>
      </c>
      <c r="B14" s="4" t="s">
        <v>18</v>
      </c>
      <c r="C14" s="4">
        <v>98</v>
      </c>
      <c r="D14" s="4">
        <v>90</v>
      </c>
      <c r="E14" s="10">
        <v>97</v>
      </c>
      <c r="G14" s="19" t="s">
        <v>106</v>
      </c>
      <c r="H14" s="20">
        <f>SUMIFS(K3:K12,I3:I12,"east",H3:H12,"keyboard")</f>
        <v>46429</v>
      </c>
    </row>
    <row r="16" spans="1:11" x14ac:dyDescent="0.3">
      <c r="A16" s="19" t="s">
        <v>104</v>
      </c>
      <c r="B16" s="19">
        <f>AVERAGEIFS(C2:E14,C2:E14,"&gt;60")</f>
        <v>79.071428571428569</v>
      </c>
    </row>
    <row r="17" spans="1:2" x14ac:dyDescent="0.3">
      <c r="A17" s="19" t="s">
        <v>105</v>
      </c>
      <c r="B17" s="19">
        <f>COUNTIFS(C2:C14,"&gt;50")</f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B917-07A9-47EB-A716-3366248A0395}">
  <dimension ref="A1:G13"/>
  <sheetViews>
    <sheetView workbookViewId="0">
      <selection activeCell="E19" sqref="E19"/>
    </sheetView>
  </sheetViews>
  <sheetFormatPr defaultRowHeight="14.4" x14ac:dyDescent="0.3"/>
  <sheetData>
    <row r="1" spans="1:7" ht="29.4" thickBot="1" x14ac:dyDescent="0.35">
      <c r="A1" s="1" t="s">
        <v>0</v>
      </c>
      <c r="B1" s="2" t="s">
        <v>1</v>
      </c>
      <c r="F1" s="1" t="s">
        <v>113</v>
      </c>
      <c r="G1" s="2" t="s">
        <v>27</v>
      </c>
    </row>
    <row r="2" spans="1:7" ht="15" thickBot="1" x14ac:dyDescent="0.35">
      <c r="A2" s="3">
        <v>1001</v>
      </c>
      <c r="B2" s="4" t="s">
        <v>109</v>
      </c>
      <c r="F2" s="3">
        <v>2001</v>
      </c>
      <c r="G2" s="4" t="s">
        <v>32</v>
      </c>
    </row>
    <row r="3" spans="1:7" ht="15" thickBot="1" x14ac:dyDescent="0.35">
      <c r="A3" s="3">
        <v>1002</v>
      </c>
      <c r="B3" s="4" t="s">
        <v>110</v>
      </c>
      <c r="F3" s="3">
        <v>2002</v>
      </c>
      <c r="G3" s="4" t="s">
        <v>35</v>
      </c>
    </row>
    <row r="4" spans="1:7" ht="15" thickBot="1" x14ac:dyDescent="0.35">
      <c r="A4" s="3">
        <v>1003</v>
      </c>
      <c r="B4" s="4" t="s">
        <v>111</v>
      </c>
      <c r="F4" s="3">
        <v>2003</v>
      </c>
      <c r="G4" s="4" t="s">
        <v>38</v>
      </c>
    </row>
    <row r="5" spans="1:7" ht="15" thickBot="1" x14ac:dyDescent="0.35">
      <c r="A5" s="3">
        <v>1004</v>
      </c>
      <c r="B5" s="4" t="s">
        <v>112</v>
      </c>
      <c r="F5" s="3">
        <v>2004</v>
      </c>
      <c r="G5" s="4" t="s">
        <v>35</v>
      </c>
    </row>
    <row r="6" spans="1:7" ht="15" thickBot="1" x14ac:dyDescent="0.35">
      <c r="F6" s="3">
        <v>2005</v>
      </c>
      <c r="G6" s="4" t="s">
        <v>32</v>
      </c>
    </row>
    <row r="7" spans="1:7" ht="15" thickBot="1" x14ac:dyDescent="0.35">
      <c r="F7" s="3">
        <v>2006</v>
      </c>
      <c r="G7" s="4" t="s">
        <v>38</v>
      </c>
    </row>
    <row r="8" spans="1:7" ht="15" thickBot="1" x14ac:dyDescent="0.35">
      <c r="B8" s="21" t="s">
        <v>107</v>
      </c>
      <c r="C8" s="21" t="s">
        <v>108</v>
      </c>
      <c r="F8" s="3">
        <v>2007</v>
      </c>
      <c r="G8" s="4" t="s">
        <v>38</v>
      </c>
    </row>
    <row r="9" spans="1:7" ht="15" thickBot="1" x14ac:dyDescent="0.35">
      <c r="B9" s="22">
        <v>1003</v>
      </c>
      <c r="C9" s="22" t="str">
        <f>VLOOKUP(B9,A2:B5,2,FALSE)</f>
        <v xml:space="preserve"> drake</v>
      </c>
      <c r="F9" s="3">
        <v>2008</v>
      </c>
      <c r="G9" s="4" t="s">
        <v>32</v>
      </c>
    </row>
    <row r="11" spans="1:7" ht="15" thickBot="1" x14ac:dyDescent="0.35"/>
    <row r="12" spans="1:7" ht="29.4" thickBot="1" x14ac:dyDescent="0.35">
      <c r="F12" s="23" t="s">
        <v>113</v>
      </c>
      <c r="G12" s="24" t="s">
        <v>27</v>
      </c>
    </row>
    <row r="13" spans="1:7" ht="15" thickBot="1" x14ac:dyDescent="0.35">
      <c r="F13" s="25">
        <v>2002</v>
      </c>
      <c r="G13" s="22" t="str">
        <f>VLOOKUP(F13,F1:G9,2)</f>
        <v>Printer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A6E1-BAD6-4ED5-8BF4-80DD815C5555}">
  <dimension ref="A1:P14"/>
  <sheetViews>
    <sheetView topLeftCell="B1" workbookViewId="0">
      <selection activeCell="M6" sqref="M6"/>
    </sheetView>
  </sheetViews>
  <sheetFormatPr defaultRowHeight="14.4" x14ac:dyDescent="0.3"/>
  <cols>
    <col min="7" max="7" width="12.6640625" customWidth="1"/>
    <col min="8" max="8" width="10.5546875" customWidth="1"/>
    <col min="9" max="9" width="10.109375" bestFit="1" customWidth="1"/>
    <col min="12" max="12" width="11.77734375" bestFit="1" customWidth="1"/>
    <col min="13" max="13" width="6.109375" customWidth="1"/>
    <col min="14" max="14" width="10.109375" bestFit="1" customWidth="1"/>
    <col min="15" max="15" width="7.44140625" bestFit="1" customWidth="1"/>
    <col min="16" max="16" width="9" customWidth="1"/>
  </cols>
  <sheetData>
    <row r="1" spans="1:16" ht="29.4" thickBot="1" x14ac:dyDescent="0.35">
      <c r="A1" s="1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G1" s="1" t="s">
        <v>61</v>
      </c>
      <c r="H1" s="2" t="s">
        <v>1</v>
      </c>
      <c r="I1" s="2" t="s">
        <v>62</v>
      </c>
      <c r="J1" s="2" t="s">
        <v>63</v>
      </c>
    </row>
    <row r="2" spans="1:16" ht="15" thickBot="1" x14ac:dyDescent="0.35">
      <c r="A2" s="3">
        <v>2001</v>
      </c>
      <c r="B2" s="4" t="s">
        <v>32</v>
      </c>
      <c r="C2" s="4" t="s">
        <v>33</v>
      </c>
      <c r="D2" s="4" t="s">
        <v>34</v>
      </c>
      <c r="E2" s="4">
        <v>7048</v>
      </c>
      <c r="G2" s="3">
        <v>3001</v>
      </c>
      <c r="H2" s="4" t="s">
        <v>65</v>
      </c>
      <c r="I2" s="4" t="s">
        <v>66</v>
      </c>
      <c r="J2" s="4">
        <v>86766</v>
      </c>
      <c r="L2" s="36" t="s">
        <v>107</v>
      </c>
      <c r="M2" s="35"/>
      <c r="N2" s="34" t="s">
        <v>115</v>
      </c>
      <c r="O2" s="35"/>
      <c r="P2" s="33"/>
    </row>
    <row r="3" spans="1:16" ht="15" thickBot="1" x14ac:dyDescent="0.35">
      <c r="A3" s="3">
        <v>2002</v>
      </c>
      <c r="B3" s="4" t="s">
        <v>35</v>
      </c>
      <c r="C3" s="4" t="s">
        <v>36</v>
      </c>
      <c r="D3" s="4" t="s">
        <v>37</v>
      </c>
      <c r="E3" s="4">
        <v>17428</v>
      </c>
      <c r="G3" s="3">
        <v>3002</v>
      </c>
      <c r="H3" s="4" t="s">
        <v>67</v>
      </c>
      <c r="I3" s="4" t="s">
        <v>66</v>
      </c>
      <c r="J3" s="4">
        <v>31943</v>
      </c>
      <c r="L3" s="32">
        <v>3002</v>
      </c>
      <c r="M3" s="9" cm="1">
        <f t="array" ref="M3:P3">INDEX(G2:J10,MATCH(L3,G2:G10,0),)</f>
        <v>3002</v>
      </c>
      <c r="N3" s="9" t="str">
        <v>Employee 2</v>
      </c>
      <c r="O3" s="9" t="str">
        <v>Finance</v>
      </c>
      <c r="P3" s="9">
        <v>31943</v>
      </c>
    </row>
    <row r="4" spans="1:16" ht="15" thickBot="1" x14ac:dyDescent="0.35">
      <c r="A4" s="3">
        <v>2003</v>
      </c>
      <c r="B4" s="4" t="s">
        <v>38</v>
      </c>
      <c r="C4" s="4" t="s">
        <v>33</v>
      </c>
      <c r="D4" s="4" t="s">
        <v>39</v>
      </c>
      <c r="E4" s="4">
        <v>23672</v>
      </c>
      <c r="G4" s="3">
        <v>3003</v>
      </c>
      <c r="H4" s="4" t="s">
        <v>68</v>
      </c>
      <c r="I4" s="4" t="s">
        <v>69</v>
      </c>
      <c r="J4" s="4">
        <v>63374</v>
      </c>
    </row>
    <row r="5" spans="1:16" ht="29.4" thickBot="1" x14ac:dyDescent="0.35">
      <c r="A5" s="3">
        <v>2004</v>
      </c>
      <c r="B5" s="4" t="s">
        <v>35</v>
      </c>
      <c r="C5" s="4" t="s">
        <v>40</v>
      </c>
      <c r="D5" s="4" t="s">
        <v>41</v>
      </c>
      <c r="E5" s="4">
        <v>5264</v>
      </c>
      <c r="G5" s="3">
        <v>3004</v>
      </c>
      <c r="H5" s="4" t="s">
        <v>70</v>
      </c>
      <c r="I5" s="4" t="s">
        <v>66</v>
      </c>
      <c r="J5" s="4">
        <v>109972</v>
      </c>
      <c r="N5" s="18"/>
    </row>
    <row r="6" spans="1:16" ht="29.4" thickBot="1" x14ac:dyDescent="0.35">
      <c r="A6" s="3">
        <v>2005</v>
      </c>
      <c r="B6" s="4" t="s">
        <v>32</v>
      </c>
      <c r="C6" s="4" t="s">
        <v>42</v>
      </c>
      <c r="D6" s="4" t="s">
        <v>43</v>
      </c>
      <c r="E6" s="4">
        <v>43388</v>
      </c>
      <c r="G6" s="3">
        <v>3005</v>
      </c>
      <c r="H6" s="4" t="s">
        <v>71</v>
      </c>
      <c r="I6" s="4" t="s">
        <v>72</v>
      </c>
      <c r="J6" s="4">
        <v>54149</v>
      </c>
    </row>
    <row r="7" spans="1:16" ht="29.4" thickBot="1" x14ac:dyDescent="0.35">
      <c r="A7" s="3">
        <v>2006</v>
      </c>
      <c r="B7" s="4" t="s">
        <v>38</v>
      </c>
      <c r="C7" s="4" t="s">
        <v>42</v>
      </c>
      <c r="D7" s="4" t="s">
        <v>44</v>
      </c>
      <c r="E7" s="4">
        <v>19757</v>
      </c>
      <c r="G7" s="3">
        <v>3006</v>
      </c>
      <c r="H7" s="4" t="s">
        <v>73</v>
      </c>
      <c r="I7" s="4" t="s">
        <v>72</v>
      </c>
      <c r="J7" s="4">
        <v>78689</v>
      </c>
    </row>
    <row r="8" spans="1:16" ht="29.4" thickBot="1" x14ac:dyDescent="0.35">
      <c r="A8" s="3">
        <v>2007</v>
      </c>
      <c r="B8" s="4" t="s">
        <v>38</v>
      </c>
      <c r="C8" s="4" t="s">
        <v>40</v>
      </c>
      <c r="D8" s="4" t="s">
        <v>45</v>
      </c>
      <c r="E8" s="4">
        <v>32058</v>
      </c>
      <c r="G8" s="3">
        <v>3007</v>
      </c>
      <c r="H8" s="4" t="s">
        <v>74</v>
      </c>
      <c r="I8" s="4" t="s">
        <v>75</v>
      </c>
      <c r="J8" s="4">
        <v>35960</v>
      </c>
    </row>
    <row r="9" spans="1:16" ht="29.4" thickBot="1" x14ac:dyDescent="0.35">
      <c r="A9" s="3">
        <v>2008</v>
      </c>
      <c r="B9" s="4" t="s">
        <v>32</v>
      </c>
      <c r="C9" s="4" t="s">
        <v>40</v>
      </c>
      <c r="D9" s="4" t="s">
        <v>46</v>
      </c>
      <c r="E9" s="4">
        <v>46429</v>
      </c>
      <c r="G9" s="3">
        <v>3008</v>
      </c>
      <c r="H9" s="4" t="s">
        <v>76</v>
      </c>
      <c r="I9" s="4" t="s">
        <v>72</v>
      </c>
      <c r="J9" s="4">
        <v>91659</v>
      </c>
    </row>
    <row r="10" spans="1:16" ht="29.4" thickBot="1" x14ac:dyDescent="0.35">
      <c r="A10" s="3">
        <v>2009</v>
      </c>
      <c r="B10" s="4" t="s">
        <v>35</v>
      </c>
      <c r="C10" s="4" t="s">
        <v>40</v>
      </c>
      <c r="D10" s="4" t="s">
        <v>47</v>
      </c>
      <c r="E10" s="4">
        <v>19746</v>
      </c>
      <c r="G10" s="3">
        <v>3009</v>
      </c>
      <c r="H10" s="4" t="s">
        <v>77</v>
      </c>
      <c r="I10" s="4" t="s">
        <v>72</v>
      </c>
      <c r="J10" s="4">
        <v>90423</v>
      </c>
    </row>
    <row r="13" spans="1:16" ht="15" thickBot="1" x14ac:dyDescent="0.35">
      <c r="B13" s="26" t="s">
        <v>108</v>
      </c>
      <c r="C13" s="26" t="s">
        <v>114</v>
      </c>
      <c r="G13" s="30"/>
      <c r="H13" s="30"/>
      <c r="I13" s="29"/>
      <c r="J13" s="29"/>
      <c r="K13" s="29"/>
      <c r="L13" s="29"/>
    </row>
    <row r="14" spans="1:16" ht="15" thickBot="1" x14ac:dyDescent="0.35">
      <c r="B14" s="28" t="s">
        <v>34</v>
      </c>
      <c r="C14" s="27">
        <f>INDEX(A2:E10,MATCH(B14,D2:D10,0),5)</f>
        <v>7048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5075-385E-4BC7-B6EF-F9F2FEAF9B97}">
  <dimension ref="A2:E14"/>
  <sheetViews>
    <sheetView workbookViewId="0">
      <selection activeCell="E14" sqref="E14"/>
    </sheetView>
  </sheetViews>
  <sheetFormatPr defaultRowHeight="14.4" x14ac:dyDescent="0.3"/>
  <cols>
    <col min="1" max="1" width="5.77734375" customWidth="1"/>
    <col min="2" max="2" width="11.5546875" customWidth="1"/>
    <col min="3" max="3" width="13.109375" bestFit="1" customWidth="1"/>
  </cols>
  <sheetData>
    <row r="2" spans="1:5" x14ac:dyDescent="0.3">
      <c r="A2" s="31" t="s">
        <v>108</v>
      </c>
      <c r="B2" s="31" t="s">
        <v>116</v>
      </c>
      <c r="C2" s="31" t="s">
        <v>117</v>
      </c>
    </row>
    <row r="3" spans="1:5" x14ac:dyDescent="0.3">
      <c r="A3" s="31" t="s">
        <v>118</v>
      </c>
      <c r="B3" s="31" t="s">
        <v>119</v>
      </c>
      <c r="C3" s="31" t="str">
        <f>CONCATENATE(A3," ",B3)</f>
        <v>het kapadnekar</v>
      </c>
      <c r="E3" s="38" t="s">
        <v>128</v>
      </c>
    </row>
    <row r="4" spans="1:5" x14ac:dyDescent="0.3">
      <c r="A4" s="31" t="s">
        <v>120</v>
      </c>
      <c r="B4" s="31" t="s">
        <v>121</v>
      </c>
      <c r="C4" s="31" t="str">
        <f t="shared" ref="C4:C7" si="0">CONCATENATE(A4," ",B4)</f>
        <v>gangu bai</v>
      </c>
      <c r="E4" s="37" t="str">
        <f>LEFT(C3,FIND(" ",C3)-1)</f>
        <v>het</v>
      </c>
    </row>
    <row r="5" spans="1:5" x14ac:dyDescent="0.3">
      <c r="A5" s="31" t="s">
        <v>122</v>
      </c>
      <c r="B5" s="31" t="s">
        <v>123</v>
      </c>
      <c r="C5" s="31" t="str">
        <f t="shared" si="0"/>
        <v>srivalli pogani</v>
      </c>
      <c r="E5" s="37" t="str">
        <f>LEFT(C4,FIND(" ",C4)-1)</f>
        <v>gangu</v>
      </c>
    </row>
    <row r="6" spans="1:5" x14ac:dyDescent="0.3">
      <c r="A6" s="31" t="s">
        <v>124</v>
      </c>
      <c r="B6" s="31" t="s">
        <v>125</v>
      </c>
      <c r="C6" s="31" t="str">
        <f t="shared" si="0"/>
        <v>preet goetcha</v>
      </c>
      <c r="E6" s="37" t="str">
        <f t="shared" ref="E6:E12" si="1">LEFT(C5,FIND(" ",C5)-1)</f>
        <v>srivalli</v>
      </c>
    </row>
    <row r="7" spans="1:5" x14ac:dyDescent="0.3">
      <c r="A7" s="31" t="s">
        <v>126</v>
      </c>
      <c r="B7" s="31" t="s">
        <v>127</v>
      </c>
      <c r="C7" s="31" t="str">
        <f t="shared" si="0"/>
        <v>laksh kareliya</v>
      </c>
      <c r="E7" s="37" t="str">
        <f t="shared" si="1"/>
        <v>preet</v>
      </c>
    </row>
    <row r="8" spans="1:5" x14ac:dyDescent="0.3">
      <c r="E8" s="37" t="str">
        <f t="shared" si="1"/>
        <v>laksh</v>
      </c>
    </row>
    <row r="10" spans="1:5" x14ac:dyDescent="0.3">
      <c r="B10" s="38" t="s">
        <v>129</v>
      </c>
      <c r="C10" s="38" t="s">
        <v>130</v>
      </c>
    </row>
    <row r="11" spans="1:5" x14ac:dyDescent="0.3">
      <c r="B11" s="31" t="str">
        <f>UPPER(A3)</f>
        <v>HET</v>
      </c>
      <c r="C11" s="37" t="str">
        <f>LOWER(B3)</f>
        <v>kapadnekar</v>
      </c>
    </row>
    <row r="12" spans="1:5" x14ac:dyDescent="0.3">
      <c r="B12" s="31" t="str">
        <f t="shared" ref="B12:C14" si="2">UPPER(A4)</f>
        <v>GANGU</v>
      </c>
      <c r="C12" s="37" t="str">
        <f t="shared" ref="C12:C14" si="3">LOWER(B4)</f>
        <v>bai</v>
      </c>
    </row>
    <row r="13" spans="1:5" x14ac:dyDescent="0.3">
      <c r="B13" s="31" t="str">
        <f t="shared" si="2"/>
        <v>SRIVALLI</v>
      </c>
      <c r="C13" s="37" t="str">
        <f t="shared" si="3"/>
        <v>pogani</v>
      </c>
    </row>
    <row r="14" spans="1:5" x14ac:dyDescent="0.3">
      <c r="B14" s="31" t="str">
        <f t="shared" si="2"/>
        <v>PREET</v>
      </c>
      <c r="C14" s="37" t="str">
        <f t="shared" si="3"/>
        <v>goetcha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B761-D921-4C7B-BA56-AB34ED47B3BC}">
  <dimension ref="A1:J15"/>
  <sheetViews>
    <sheetView workbookViewId="0">
      <selection activeCell="H14" sqref="H14"/>
    </sheetView>
  </sheetViews>
  <sheetFormatPr defaultRowHeight="14.4" x14ac:dyDescent="0.3"/>
  <cols>
    <col min="8" max="8" width="12.77734375" customWidth="1"/>
  </cols>
  <sheetData>
    <row r="1" spans="1:10" ht="29.4" thickBot="1" x14ac:dyDescent="0.35">
      <c r="A1" s="1" t="s">
        <v>26</v>
      </c>
      <c r="B1" s="2" t="s">
        <v>27</v>
      </c>
      <c r="C1" s="2" t="s">
        <v>28</v>
      </c>
      <c r="D1" s="2" t="s">
        <v>29</v>
      </c>
      <c r="E1" s="11" t="s">
        <v>30</v>
      </c>
      <c r="F1" s="42"/>
      <c r="G1" s="1" t="s">
        <v>61</v>
      </c>
      <c r="H1" s="2" t="s">
        <v>1</v>
      </c>
      <c r="I1" s="2" t="s">
        <v>62</v>
      </c>
      <c r="J1" s="2" t="s">
        <v>63</v>
      </c>
    </row>
    <row r="2" spans="1:10" ht="29.4" thickBot="1" x14ac:dyDescent="0.35">
      <c r="A2" s="3">
        <v>2001</v>
      </c>
      <c r="B2" s="4" t="s">
        <v>32</v>
      </c>
      <c r="C2" s="4" t="s">
        <v>33</v>
      </c>
      <c r="D2" s="4" t="s">
        <v>34</v>
      </c>
      <c r="E2" s="10">
        <v>7048</v>
      </c>
      <c r="F2" s="43"/>
      <c r="G2" s="3">
        <v>3001</v>
      </c>
      <c r="H2" s="4" t="s">
        <v>65</v>
      </c>
      <c r="I2" s="4" t="s">
        <v>66</v>
      </c>
      <c r="J2" s="4">
        <v>86766</v>
      </c>
    </row>
    <row r="3" spans="1:10" ht="29.4" thickBot="1" x14ac:dyDescent="0.35">
      <c r="A3" s="3">
        <v>2002</v>
      </c>
      <c r="B3" s="4" t="s">
        <v>35</v>
      </c>
      <c r="C3" s="4" t="s">
        <v>36</v>
      </c>
      <c r="D3" s="4" t="s">
        <v>37</v>
      </c>
      <c r="E3" s="10">
        <v>17428</v>
      </c>
      <c r="F3" s="43"/>
      <c r="G3" s="3">
        <v>3002</v>
      </c>
      <c r="H3" s="4" t="s">
        <v>67</v>
      </c>
      <c r="I3" s="4" t="s">
        <v>66</v>
      </c>
      <c r="J3" s="4">
        <v>31943</v>
      </c>
    </row>
    <row r="4" spans="1:10" ht="29.4" thickBot="1" x14ac:dyDescent="0.35">
      <c r="A4" s="3">
        <v>2003</v>
      </c>
      <c r="B4" s="4" t="s">
        <v>38</v>
      </c>
      <c r="C4" s="4" t="s">
        <v>33</v>
      </c>
      <c r="D4" s="4" t="s">
        <v>39</v>
      </c>
      <c r="E4" s="10">
        <v>23672</v>
      </c>
      <c r="F4" s="44"/>
      <c r="G4" s="3">
        <v>3003</v>
      </c>
      <c r="H4" s="4" t="s">
        <v>68</v>
      </c>
      <c r="I4" s="4" t="s">
        <v>69</v>
      </c>
      <c r="J4" s="4">
        <v>63374</v>
      </c>
    </row>
    <row r="5" spans="1:10" ht="29.4" thickBot="1" x14ac:dyDescent="0.35">
      <c r="A5" s="3">
        <v>2004</v>
      </c>
      <c r="B5" s="4" t="s">
        <v>35</v>
      </c>
      <c r="C5" s="4" t="s">
        <v>40</v>
      </c>
      <c r="D5" s="4" t="s">
        <v>41</v>
      </c>
      <c r="E5" s="10">
        <v>5264</v>
      </c>
      <c r="F5" s="41"/>
      <c r="G5" s="3">
        <v>3004</v>
      </c>
      <c r="H5" s="4" t="s">
        <v>70</v>
      </c>
      <c r="I5" s="4" t="s">
        <v>66</v>
      </c>
      <c r="J5" s="4">
        <v>109972</v>
      </c>
    </row>
    <row r="6" spans="1:10" ht="29.4" thickBot="1" x14ac:dyDescent="0.35">
      <c r="A6" s="3">
        <v>2005</v>
      </c>
      <c r="B6" s="4" t="s">
        <v>32</v>
      </c>
      <c r="C6" s="4" t="s">
        <v>42</v>
      </c>
      <c r="D6" s="4" t="s">
        <v>43</v>
      </c>
      <c r="E6" s="4">
        <v>43388</v>
      </c>
      <c r="G6" s="3">
        <v>3005</v>
      </c>
      <c r="H6" s="4" t="s">
        <v>71</v>
      </c>
      <c r="I6" s="4" t="s">
        <v>72</v>
      </c>
      <c r="J6" s="4">
        <v>54149</v>
      </c>
    </row>
    <row r="7" spans="1:10" ht="29.4" thickBot="1" x14ac:dyDescent="0.35">
      <c r="A7" s="3">
        <v>2006</v>
      </c>
      <c r="B7" s="4" t="s">
        <v>38</v>
      </c>
      <c r="C7" s="4" t="s">
        <v>42</v>
      </c>
      <c r="D7" s="4" t="s">
        <v>44</v>
      </c>
      <c r="E7" s="4">
        <v>19757</v>
      </c>
      <c r="G7" s="3">
        <v>3006</v>
      </c>
      <c r="H7" s="4" t="s">
        <v>73</v>
      </c>
      <c r="I7" s="4" t="s">
        <v>72</v>
      </c>
      <c r="J7" s="4">
        <v>78689</v>
      </c>
    </row>
    <row r="8" spans="1:10" ht="29.4" thickBot="1" x14ac:dyDescent="0.35">
      <c r="A8" s="3">
        <v>2007</v>
      </c>
      <c r="B8" s="4" t="s">
        <v>38</v>
      </c>
      <c r="C8" s="4" t="s">
        <v>40</v>
      </c>
      <c r="D8" s="4" t="s">
        <v>45</v>
      </c>
      <c r="E8" s="4">
        <v>32058</v>
      </c>
      <c r="F8" s="39"/>
      <c r="G8" s="3">
        <v>3007</v>
      </c>
      <c r="H8" s="4" t="s">
        <v>74</v>
      </c>
      <c r="I8" s="4" t="s">
        <v>75</v>
      </c>
      <c r="J8" s="4">
        <v>35960</v>
      </c>
    </row>
    <row r="9" spans="1:10" ht="29.4" thickBot="1" x14ac:dyDescent="0.35">
      <c r="A9" s="3">
        <v>2008</v>
      </c>
      <c r="B9" s="4" t="s">
        <v>32</v>
      </c>
      <c r="C9" s="4" t="s">
        <v>40</v>
      </c>
      <c r="D9" s="4" t="s">
        <v>46</v>
      </c>
      <c r="E9" s="4">
        <v>46429</v>
      </c>
      <c r="G9" s="3">
        <v>3008</v>
      </c>
      <c r="H9" s="4" t="s">
        <v>76</v>
      </c>
      <c r="I9" s="4" t="s">
        <v>72</v>
      </c>
      <c r="J9" s="4">
        <v>91659</v>
      </c>
    </row>
    <row r="10" spans="1:10" ht="29.4" thickBot="1" x14ac:dyDescent="0.35">
      <c r="A10" s="3">
        <v>2009</v>
      </c>
      <c r="B10" s="4" t="s">
        <v>35</v>
      </c>
      <c r="C10" s="4" t="s">
        <v>40</v>
      </c>
      <c r="D10" s="4" t="s">
        <v>47</v>
      </c>
      <c r="E10" s="4">
        <v>19746</v>
      </c>
      <c r="G10" s="3">
        <v>3009</v>
      </c>
      <c r="H10" s="4" t="s">
        <v>77</v>
      </c>
      <c r="I10" s="4" t="s">
        <v>72</v>
      </c>
      <c r="J10" s="4">
        <v>90423</v>
      </c>
    </row>
    <row r="11" spans="1:10" ht="29.4" thickBot="1" x14ac:dyDescent="0.35">
      <c r="A11" s="3">
        <v>2010</v>
      </c>
      <c r="B11" s="4" t="s">
        <v>32</v>
      </c>
      <c r="C11" s="4" t="s">
        <v>33</v>
      </c>
      <c r="D11" s="4" t="s">
        <v>48</v>
      </c>
      <c r="E11" s="4">
        <v>35185</v>
      </c>
    </row>
    <row r="12" spans="1:10" x14ac:dyDescent="0.3">
      <c r="H12" s="40" t="s">
        <v>133</v>
      </c>
      <c r="I12" s="40" t="s">
        <v>134</v>
      </c>
    </row>
    <row r="13" spans="1:10" x14ac:dyDescent="0.3">
      <c r="H13" s="37">
        <v>3001</v>
      </c>
      <c r="I13" s="37">
        <f>_xlfn.XLOOKUP(H13,G2:G10,J2:J10,"error",0)</f>
        <v>86766</v>
      </c>
    </row>
    <row r="14" spans="1:10" x14ac:dyDescent="0.3">
      <c r="C14" s="40" t="s">
        <v>131</v>
      </c>
      <c r="D14" s="40" t="s">
        <v>132</v>
      </c>
    </row>
    <row r="15" spans="1:10" x14ac:dyDescent="0.3">
      <c r="C15" s="37">
        <v>2001</v>
      </c>
      <c r="D15" s="37">
        <f>_xlfn.XLOOKUP(C15,A2:A11,E2:E11,"-",0)</f>
        <v>7048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56A2-12CB-40E7-BC1E-9B9BA86284F9}">
  <dimension ref="A1:E12"/>
  <sheetViews>
    <sheetView workbookViewId="0">
      <selection activeCell="C15" sqref="C15"/>
    </sheetView>
  </sheetViews>
  <sheetFormatPr defaultRowHeight="14.4" x14ac:dyDescent="0.3"/>
  <sheetData>
    <row r="1" spans="1:5" ht="29.4" thickBot="1" x14ac:dyDescent="0.35">
      <c r="A1" s="1" t="s">
        <v>26</v>
      </c>
      <c r="B1" s="2" t="s">
        <v>27</v>
      </c>
      <c r="C1" s="2" t="s">
        <v>28</v>
      </c>
      <c r="D1" s="2" t="s">
        <v>29</v>
      </c>
      <c r="E1" s="2" t="s">
        <v>30</v>
      </c>
    </row>
    <row r="2" spans="1:5" ht="15" thickBot="1" x14ac:dyDescent="0.35">
      <c r="A2" s="3">
        <v>2001</v>
      </c>
      <c r="B2" s="4" t="s">
        <v>32</v>
      </c>
      <c r="C2" s="4" t="s">
        <v>33</v>
      </c>
      <c r="D2" s="4" t="s">
        <v>34</v>
      </c>
      <c r="E2" s="4">
        <v>7048</v>
      </c>
    </row>
    <row r="3" spans="1:5" ht="15" thickBot="1" x14ac:dyDescent="0.35">
      <c r="A3" s="3">
        <v>2002</v>
      </c>
      <c r="B3" s="4" t="s">
        <v>35</v>
      </c>
      <c r="C3" s="4" t="s">
        <v>36</v>
      </c>
      <c r="D3" s="4" t="s">
        <v>37</v>
      </c>
      <c r="E3" s="4">
        <v>17428</v>
      </c>
    </row>
    <row r="4" spans="1:5" ht="15" thickBot="1" x14ac:dyDescent="0.35">
      <c r="A4" s="3">
        <v>2003</v>
      </c>
      <c r="B4" s="4" t="s">
        <v>38</v>
      </c>
      <c r="C4" s="4" t="s">
        <v>33</v>
      </c>
      <c r="D4" s="4" t="s">
        <v>39</v>
      </c>
      <c r="E4" s="4">
        <v>23672</v>
      </c>
    </row>
    <row r="5" spans="1:5" ht="15" thickBot="1" x14ac:dyDescent="0.35">
      <c r="A5" s="3">
        <v>2004</v>
      </c>
      <c r="B5" s="4" t="s">
        <v>35</v>
      </c>
      <c r="C5" s="4" t="s">
        <v>40</v>
      </c>
      <c r="D5" s="4" t="s">
        <v>41</v>
      </c>
      <c r="E5" s="4">
        <v>5264</v>
      </c>
    </row>
    <row r="6" spans="1:5" ht="15" thickBot="1" x14ac:dyDescent="0.35">
      <c r="A6" s="3">
        <v>2005</v>
      </c>
      <c r="B6" s="4" t="s">
        <v>32</v>
      </c>
      <c r="C6" s="4" t="s">
        <v>42</v>
      </c>
      <c r="D6" s="4" t="s">
        <v>43</v>
      </c>
      <c r="E6" s="4">
        <v>43388</v>
      </c>
    </row>
    <row r="7" spans="1:5" ht="15" thickBot="1" x14ac:dyDescent="0.35">
      <c r="A7" s="3">
        <v>2006</v>
      </c>
      <c r="B7" s="4" t="s">
        <v>38</v>
      </c>
      <c r="C7" s="4" t="s">
        <v>42</v>
      </c>
      <c r="D7" s="4" t="s">
        <v>44</v>
      </c>
      <c r="E7" s="4">
        <v>19757</v>
      </c>
    </row>
    <row r="8" spans="1:5" ht="15" thickBot="1" x14ac:dyDescent="0.35">
      <c r="A8" s="3">
        <v>2007</v>
      </c>
      <c r="B8" s="4" t="s">
        <v>38</v>
      </c>
      <c r="C8" s="4" t="s">
        <v>40</v>
      </c>
      <c r="D8" s="4" t="s">
        <v>45</v>
      </c>
      <c r="E8" s="4">
        <v>32058</v>
      </c>
    </row>
    <row r="11" spans="1:5" x14ac:dyDescent="0.3">
      <c r="B11" s="45" t="s">
        <v>136</v>
      </c>
      <c r="C11" s="45" t="s">
        <v>135</v>
      </c>
    </row>
    <row r="12" spans="1:5" x14ac:dyDescent="0.3">
      <c r="B12" s="45" t="s">
        <v>32</v>
      </c>
      <c r="C12" s="46">
        <f>_xlfn.XMATCH(B12,B2:B8,0)</f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A67B-DA3B-4407-AFEB-E3770A82602B}">
  <dimension ref="A1:D10"/>
  <sheetViews>
    <sheetView zoomScale="120" zoomScaleNormal="120" workbookViewId="0">
      <selection activeCell="G9" sqref="G9"/>
    </sheetView>
  </sheetViews>
  <sheetFormatPr defaultRowHeight="14.4" x14ac:dyDescent="0.3"/>
  <cols>
    <col min="1" max="1" width="11.5546875" customWidth="1"/>
    <col min="2" max="2" width="10.33203125" customWidth="1"/>
  </cols>
  <sheetData>
    <row r="1" spans="1:4" ht="29.4" thickBot="1" x14ac:dyDescent="0.35">
      <c r="A1" s="1" t="s">
        <v>61</v>
      </c>
      <c r="B1" s="2" t="s">
        <v>1</v>
      </c>
      <c r="C1" s="2" t="s">
        <v>62</v>
      </c>
      <c r="D1" s="2" t="s">
        <v>63</v>
      </c>
    </row>
    <row r="2" spans="1:4" ht="29.4" thickBot="1" x14ac:dyDescent="0.35">
      <c r="A2" s="3">
        <v>3001</v>
      </c>
      <c r="B2" s="4" t="s">
        <v>65</v>
      </c>
      <c r="C2" s="4" t="s">
        <v>66</v>
      </c>
      <c r="D2" s="4">
        <v>86766</v>
      </c>
    </row>
    <row r="3" spans="1:4" ht="29.4" thickBot="1" x14ac:dyDescent="0.35">
      <c r="A3" s="3">
        <v>3002</v>
      </c>
      <c r="B3" s="4" t="s">
        <v>67</v>
      </c>
      <c r="C3" s="4" t="s">
        <v>66</v>
      </c>
      <c r="D3" s="4">
        <v>31943</v>
      </c>
    </row>
    <row r="4" spans="1:4" ht="29.4" thickBot="1" x14ac:dyDescent="0.35">
      <c r="A4" s="3">
        <v>3003</v>
      </c>
      <c r="B4" s="4" t="s">
        <v>68</v>
      </c>
      <c r="C4" s="4" t="s">
        <v>69</v>
      </c>
      <c r="D4" s="4">
        <v>63374</v>
      </c>
    </row>
    <row r="5" spans="1:4" ht="29.4" thickBot="1" x14ac:dyDescent="0.35">
      <c r="A5" s="3">
        <v>3004</v>
      </c>
      <c r="B5" s="4" t="s">
        <v>70</v>
      </c>
      <c r="C5" s="4" t="s">
        <v>66</v>
      </c>
      <c r="D5" s="4">
        <v>109972</v>
      </c>
    </row>
    <row r="6" spans="1:4" ht="29.4" thickBot="1" x14ac:dyDescent="0.35">
      <c r="A6" s="3">
        <v>3005</v>
      </c>
      <c r="B6" s="4" t="s">
        <v>71</v>
      </c>
      <c r="C6" s="4" t="s">
        <v>72</v>
      </c>
      <c r="D6" s="4">
        <v>54149</v>
      </c>
    </row>
    <row r="7" spans="1:4" ht="29.4" thickBot="1" x14ac:dyDescent="0.35">
      <c r="A7" s="3">
        <v>3006</v>
      </c>
      <c r="B7" s="4" t="s">
        <v>73</v>
      </c>
      <c r="C7" s="4" t="s">
        <v>72</v>
      </c>
      <c r="D7" s="4">
        <v>78689</v>
      </c>
    </row>
    <row r="9" spans="1:4" ht="15" thickBot="1" x14ac:dyDescent="0.35">
      <c r="B9" s="49" t="s">
        <v>138</v>
      </c>
      <c r="C9" s="50" t="s">
        <v>139</v>
      </c>
    </row>
    <row r="10" spans="1:4" ht="15" thickBot="1" x14ac:dyDescent="0.35">
      <c r="A10" s="32"/>
      <c r="B10" s="47" t="s">
        <v>137</v>
      </c>
      <c r="C10" s="48">
        <f ca="1">SUM(INDIRECT(B10))</f>
        <v>424893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2AC0-CDE7-40A0-B87A-D0721DEF9769}">
  <dimension ref="A1:E13"/>
  <sheetViews>
    <sheetView workbookViewId="0">
      <selection activeCell="D18" sqref="D18"/>
    </sheetView>
  </sheetViews>
  <sheetFormatPr defaultRowHeight="14.4" x14ac:dyDescent="0.3"/>
  <sheetData>
    <row r="1" spans="1:5" ht="29.4" thickBot="1" x14ac:dyDescent="0.35">
      <c r="A1" s="1" t="s">
        <v>26</v>
      </c>
      <c r="B1" s="2" t="s">
        <v>27</v>
      </c>
      <c r="C1" s="2" t="s">
        <v>28</v>
      </c>
      <c r="D1" s="2" t="s">
        <v>29</v>
      </c>
      <c r="E1" s="2" t="s">
        <v>30</v>
      </c>
    </row>
    <row r="2" spans="1:5" ht="15" thickBot="1" x14ac:dyDescent="0.35">
      <c r="A2" s="3">
        <v>2001</v>
      </c>
      <c r="B2" s="4" t="s">
        <v>32</v>
      </c>
      <c r="C2" s="4" t="s">
        <v>33</v>
      </c>
      <c r="D2" s="4" t="s">
        <v>34</v>
      </c>
      <c r="E2" s="4">
        <v>7048</v>
      </c>
    </row>
    <row r="3" spans="1:5" ht="15" thickBot="1" x14ac:dyDescent="0.35">
      <c r="A3" s="3">
        <v>2002</v>
      </c>
      <c r="B3" s="4" t="s">
        <v>35</v>
      </c>
      <c r="C3" s="4" t="s">
        <v>36</v>
      </c>
      <c r="D3" s="4" t="s">
        <v>37</v>
      </c>
      <c r="E3" s="4">
        <v>17428</v>
      </c>
    </row>
    <row r="4" spans="1:5" ht="15" thickBot="1" x14ac:dyDescent="0.35">
      <c r="A4" s="3">
        <v>2003</v>
      </c>
      <c r="B4" s="4" t="s">
        <v>38</v>
      </c>
      <c r="C4" s="4" t="s">
        <v>33</v>
      </c>
      <c r="D4" s="4" t="s">
        <v>39</v>
      </c>
      <c r="E4" s="4">
        <v>23672</v>
      </c>
    </row>
    <row r="5" spans="1:5" ht="15" thickBot="1" x14ac:dyDescent="0.35">
      <c r="A5" s="3">
        <v>2004</v>
      </c>
      <c r="B5" s="4" t="s">
        <v>35</v>
      </c>
      <c r="C5" s="4" t="s">
        <v>40</v>
      </c>
      <c r="D5" s="4" t="s">
        <v>41</v>
      </c>
      <c r="E5" s="4">
        <v>5264</v>
      </c>
    </row>
    <row r="6" spans="1:5" ht="15" thickBot="1" x14ac:dyDescent="0.35">
      <c r="A6" s="3">
        <v>2005</v>
      </c>
      <c r="B6" s="4" t="s">
        <v>32</v>
      </c>
      <c r="C6" s="4" t="s">
        <v>42</v>
      </c>
      <c r="D6" s="4" t="s">
        <v>43</v>
      </c>
      <c r="E6" s="4">
        <v>43388</v>
      </c>
    </row>
    <row r="7" spans="1:5" ht="15" thickBot="1" x14ac:dyDescent="0.35">
      <c r="A7" s="3">
        <v>2006</v>
      </c>
      <c r="B7" s="4" t="s">
        <v>38</v>
      </c>
      <c r="C7" s="4" t="s">
        <v>42</v>
      </c>
      <c r="D7" s="4" t="s">
        <v>44</v>
      </c>
      <c r="E7" s="4">
        <v>19757</v>
      </c>
    </row>
    <row r="8" spans="1:5" ht="15" thickBot="1" x14ac:dyDescent="0.35">
      <c r="A8" s="3">
        <v>2007</v>
      </c>
      <c r="B8" s="4" t="s">
        <v>38</v>
      </c>
      <c r="C8" s="4" t="s">
        <v>40</v>
      </c>
      <c r="D8" s="4" t="s">
        <v>45</v>
      </c>
      <c r="E8" s="4">
        <v>32058</v>
      </c>
    </row>
    <row r="9" spans="1:5" ht="15" thickBot="1" x14ac:dyDescent="0.35">
      <c r="A9" s="3">
        <v>2008</v>
      </c>
      <c r="B9" s="4" t="s">
        <v>32</v>
      </c>
      <c r="C9" s="4" t="s">
        <v>40</v>
      </c>
      <c r="D9" s="4" t="s">
        <v>46</v>
      </c>
      <c r="E9" s="4">
        <v>46429</v>
      </c>
    </row>
    <row r="10" spans="1:5" ht="15" thickBot="1" x14ac:dyDescent="0.35">
      <c r="A10" s="3">
        <v>2009</v>
      </c>
      <c r="B10" s="4" t="s">
        <v>35</v>
      </c>
      <c r="C10" s="4" t="s">
        <v>40</v>
      </c>
      <c r="D10" s="4" t="s">
        <v>47</v>
      </c>
      <c r="E10" s="4">
        <v>19746</v>
      </c>
    </row>
    <row r="13" spans="1:5" x14ac:dyDescent="0.3">
      <c r="C13" s="51">
        <f ca="1">OFFSET(A2,0,4)</f>
        <v>7048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CC3D8-BD58-4CE7-B75E-926E34AB24BD}">
  <dimension ref="A1:F12"/>
  <sheetViews>
    <sheetView workbookViewId="0">
      <selection activeCell="F20" sqref="F20"/>
    </sheetView>
  </sheetViews>
  <sheetFormatPr defaultRowHeight="14.4" x14ac:dyDescent="0.3"/>
  <cols>
    <col min="2" max="5" width="10.33203125" bestFit="1" customWidth="1"/>
  </cols>
  <sheetData>
    <row r="1" spans="1:6" ht="28.8" x14ac:dyDescent="0.3">
      <c r="A1" s="52" t="s">
        <v>1</v>
      </c>
      <c r="B1" s="52" t="s">
        <v>140</v>
      </c>
      <c r="C1" s="52" t="s">
        <v>64</v>
      </c>
      <c r="D1" s="52" t="s">
        <v>141</v>
      </c>
    </row>
    <row r="2" spans="1:6" x14ac:dyDescent="0.3">
      <c r="A2" s="53" t="s">
        <v>142</v>
      </c>
      <c r="B2" s="54">
        <v>37391</v>
      </c>
      <c r="C2" s="54">
        <v>44927</v>
      </c>
      <c r="D2" s="54">
        <v>46093</v>
      </c>
    </row>
    <row r="3" spans="1:6" x14ac:dyDescent="0.3">
      <c r="A3" s="53" t="s">
        <v>143</v>
      </c>
      <c r="B3" s="54">
        <v>37154</v>
      </c>
      <c r="C3" s="54">
        <v>44972</v>
      </c>
      <c r="D3" s="54">
        <v>46093</v>
      </c>
    </row>
    <row r="4" spans="1:6" x14ac:dyDescent="0.3">
      <c r="A4" s="53" t="s">
        <v>144</v>
      </c>
      <c r="B4" s="54">
        <v>36536</v>
      </c>
      <c r="C4" s="54">
        <v>44722</v>
      </c>
      <c r="D4" s="54">
        <v>46093</v>
      </c>
    </row>
    <row r="5" spans="1:6" x14ac:dyDescent="0.3">
      <c r="A5" s="53" t="s">
        <v>145</v>
      </c>
      <c r="B5" s="54">
        <v>37805</v>
      </c>
      <c r="C5" s="54">
        <v>45163</v>
      </c>
      <c r="D5" s="54">
        <v>46093</v>
      </c>
    </row>
    <row r="6" spans="1:6" x14ac:dyDescent="0.3">
      <c r="A6" s="53" t="s">
        <v>146</v>
      </c>
      <c r="B6" s="54">
        <v>37588</v>
      </c>
      <c r="C6" s="54">
        <v>45356</v>
      </c>
      <c r="D6" s="54">
        <v>46093</v>
      </c>
    </row>
    <row r="10" spans="1:6" x14ac:dyDescent="0.3">
      <c r="B10" s="55" t="s">
        <v>147</v>
      </c>
      <c r="C10" s="55" t="s">
        <v>148</v>
      </c>
      <c r="E10" s="55" t="s">
        <v>149</v>
      </c>
      <c r="F10" s="55" t="s">
        <v>150</v>
      </c>
    </row>
    <row r="11" spans="1:6" x14ac:dyDescent="0.3">
      <c r="B11" s="54">
        <v>37391</v>
      </c>
      <c r="C11" s="56">
        <f ca="1">DATEDIF(B11,TODAY(),"Y")</f>
        <v>23</v>
      </c>
      <c r="E11" s="54">
        <v>37391</v>
      </c>
      <c r="F11" s="56">
        <f>_xlfn.DAYS(D2,C2)</f>
        <v>1166</v>
      </c>
    </row>
    <row r="12" spans="1:6" x14ac:dyDescent="0.3">
      <c r="E12" s="54">
        <v>46093</v>
      </c>
      <c r="F12" s="5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0043-2011-463D-B87B-5F8CEFE274FE}">
  <dimension ref="A1:H12"/>
  <sheetViews>
    <sheetView workbookViewId="0">
      <selection activeCell="G18" sqref="G18"/>
    </sheetView>
  </sheetViews>
  <sheetFormatPr defaultRowHeight="14.4" x14ac:dyDescent="0.3"/>
  <sheetData>
    <row r="1" spans="1:8" x14ac:dyDescent="0.3">
      <c r="A1" s="57" t="s">
        <v>27</v>
      </c>
      <c r="B1" s="57" t="s">
        <v>151</v>
      </c>
    </row>
    <row r="2" spans="1:8" x14ac:dyDescent="0.3">
      <c r="A2" s="58" t="s">
        <v>32</v>
      </c>
      <c r="B2" s="58">
        <v>7048.56</v>
      </c>
    </row>
    <row r="3" spans="1:8" x14ac:dyDescent="0.3">
      <c r="A3" s="58" t="s">
        <v>35</v>
      </c>
      <c r="B3" s="58">
        <v>17428.32</v>
      </c>
    </row>
    <row r="4" spans="1:8" x14ac:dyDescent="0.3">
      <c r="A4" s="58" t="s">
        <v>38</v>
      </c>
      <c r="B4" s="58">
        <v>23672.87</v>
      </c>
    </row>
    <row r="5" spans="1:8" x14ac:dyDescent="0.3">
      <c r="A5" s="58" t="s">
        <v>50</v>
      </c>
      <c r="B5" s="58">
        <v>5264.44</v>
      </c>
    </row>
    <row r="6" spans="1:8" x14ac:dyDescent="0.3">
      <c r="A6" s="58" t="s">
        <v>52</v>
      </c>
      <c r="B6" s="58">
        <v>43388.91</v>
      </c>
    </row>
    <row r="7" spans="1:8" x14ac:dyDescent="0.3">
      <c r="D7" s="57" t="s">
        <v>151</v>
      </c>
      <c r="E7" s="58" t="s">
        <v>153</v>
      </c>
      <c r="G7" s="59" t="s">
        <v>152</v>
      </c>
      <c r="H7" s="59" t="s">
        <v>154</v>
      </c>
    </row>
    <row r="8" spans="1:8" x14ac:dyDescent="0.3">
      <c r="D8" s="58">
        <v>7048.56</v>
      </c>
      <c r="E8" s="59">
        <f>CEILING(B2,100)</f>
        <v>7100</v>
      </c>
      <c r="G8" s="58">
        <v>7048.56</v>
      </c>
      <c r="H8" s="58">
        <f>ROUND(B2,0)</f>
        <v>7049</v>
      </c>
    </row>
    <row r="11" spans="1:8" x14ac:dyDescent="0.3">
      <c r="D11" s="59" t="s">
        <v>152</v>
      </c>
      <c r="E11" s="59" t="s">
        <v>155</v>
      </c>
    </row>
    <row r="12" spans="1:8" x14ac:dyDescent="0.3">
      <c r="D12" s="58">
        <v>7048.56</v>
      </c>
      <c r="E12" s="58">
        <f>FLOOR(B2,1000)</f>
        <v>7000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48C7E-64C8-46AC-9441-6C89FD9A39EC}">
  <dimension ref="A1:F11"/>
  <sheetViews>
    <sheetView tabSelected="1" workbookViewId="0">
      <selection activeCell="E13" sqref="E13"/>
    </sheetView>
  </sheetViews>
  <sheetFormatPr defaultRowHeight="14.4" x14ac:dyDescent="0.3"/>
  <sheetData>
    <row r="1" spans="1:6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ht="15" thickBot="1" x14ac:dyDescent="0.35">
      <c r="A2" s="3">
        <v>1001</v>
      </c>
      <c r="B2" s="4" t="s">
        <v>6</v>
      </c>
      <c r="C2" s="4">
        <v>61</v>
      </c>
      <c r="D2" s="4">
        <v>48</v>
      </c>
      <c r="E2" s="4">
        <v>76</v>
      </c>
    </row>
    <row r="3" spans="1:6" ht="15" thickBot="1" x14ac:dyDescent="0.35">
      <c r="A3" s="3">
        <v>1002</v>
      </c>
      <c r="B3" s="4" t="s">
        <v>7</v>
      </c>
      <c r="C3" s="4">
        <v>78</v>
      </c>
      <c r="D3" s="4">
        <v>76</v>
      </c>
      <c r="E3" s="4">
        <v>70</v>
      </c>
    </row>
    <row r="4" spans="1:6" ht="15" thickBot="1" x14ac:dyDescent="0.35">
      <c r="A4" s="3">
        <v>1003</v>
      </c>
      <c r="B4" s="4" t="s">
        <v>8</v>
      </c>
      <c r="C4" s="4">
        <v>97</v>
      </c>
      <c r="D4" s="4">
        <v>60</v>
      </c>
      <c r="E4" s="4">
        <v>51</v>
      </c>
    </row>
    <row r="5" spans="1:6" ht="15" thickBot="1" x14ac:dyDescent="0.35">
      <c r="A5" s="3">
        <v>1004</v>
      </c>
      <c r="B5" s="4" t="s">
        <v>9</v>
      </c>
      <c r="C5" s="4">
        <v>74</v>
      </c>
      <c r="D5" s="4">
        <v>55</v>
      </c>
      <c r="E5" s="4">
        <v>46</v>
      </c>
    </row>
    <row r="6" spans="1:6" ht="15" thickBot="1" x14ac:dyDescent="0.35">
      <c r="A6" s="3">
        <v>1005</v>
      </c>
      <c r="B6" s="4" t="s">
        <v>10</v>
      </c>
      <c r="C6" s="4">
        <v>68</v>
      </c>
      <c r="D6" s="4">
        <v>74</v>
      </c>
      <c r="E6" s="4">
        <v>84</v>
      </c>
    </row>
    <row r="7" spans="1:6" ht="15" thickBot="1" x14ac:dyDescent="0.35">
      <c r="A7" s="3">
        <v>1006</v>
      </c>
      <c r="B7" s="4" t="s">
        <v>11</v>
      </c>
      <c r="C7" s="4">
        <v>80</v>
      </c>
      <c r="D7" s="4">
        <v>70</v>
      </c>
      <c r="E7" s="4">
        <v>65</v>
      </c>
    </row>
    <row r="9" spans="1:6" ht="15" thickBot="1" x14ac:dyDescent="0.35"/>
    <row r="10" spans="1:6" ht="15" thickBot="1" x14ac:dyDescent="0.35">
      <c r="B10" s="60" t="s">
        <v>156</v>
      </c>
      <c r="C10" s="2" t="s">
        <v>1</v>
      </c>
      <c r="D10" s="2" t="s">
        <v>2</v>
      </c>
      <c r="E10" s="2" t="s">
        <v>3</v>
      </c>
      <c r="F10" s="2" t="s">
        <v>4</v>
      </c>
    </row>
    <row r="11" spans="1:6" x14ac:dyDescent="0.3">
      <c r="B11" s="60" cm="1">
        <f t="array" ref="B11:F11">_xlfn._xlws.FILTER(A2:E7,C2:C7&gt;80,"-")</f>
        <v>1003</v>
      </c>
      <c r="C11" s="60" t="str">
        <v>Student 3</v>
      </c>
      <c r="D11" s="60">
        <v>97</v>
      </c>
      <c r="E11" s="60">
        <v>60</v>
      </c>
      <c r="F11" s="60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relative,absolute,formatting</vt:lpstr>
      <vt:lpstr>if,ifs</vt:lpstr>
      <vt:lpstr>if with or</vt:lpstr>
      <vt:lpstr>count,sum,avg</vt:lpstr>
      <vt:lpstr>vlookup</vt:lpstr>
      <vt:lpstr>index,mtch</vt:lpstr>
      <vt:lpstr>text functions</vt:lpstr>
      <vt:lpstr>xlookup</vt:lpstr>
      <vt:lpstr>xmatch</vt:lpstr>
      <vt:lpstr>indirect</vt:lpstr>
      <vt:lpstr>offset</vt:lpstr>
      <vt:lpstr>DATE</vt:lpstr>
      <vt:lpstr>MATH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 k</dc:creator>
  <cp:lastModifiedBy>het k</cp:lastModifiedBy>
  <dcterms:created xsi:type="dcterms:W3CDTF">2026-03-11T09:34:11Z</dcterms:created>
  <dcterms:modified xsi:type="dcterms:W3CDTF">2026-03-12T05:49:31Z</dcterms:modified>
</cp:coreProperties>
</file>