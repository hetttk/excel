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AI-ML-DATA SCIENCE\excel\"/>
    </mc:Choice>
  </mc:AlternateContent>
  <xr:revisionPtr revIDLastSave="0" documentId="13_ncr:1_{DB1F6B11-08CE-4DBA-91D8-3A0F2B608B46}" xr6:coauthVersionLast="47" xr6:coauthVersionMax="47" xr10:uidLastSave="{00000000-0000-0000-0000-000000000000}"/>
  <bookViews>
    <workbookView xWindow="0" yWindow="0" windowWidth="17280" windowHeight="8880" firstSheet="8" activeTab="10" xr2:uid="{213D173F-05DA-41B0-BECC-989E28BDA926}"/>
  </bookViews>
  <sheets>
    <sheet name="Data" sheetId="1" r:id="rId1"/>
    <sheet name="con_format" sheetId="3" r:id="rId2"/>
    <sheet name="what_if" sheetId="4" r:id="rId3"/>
    <sheet name="linear regresison" sheetId="5" r:id="rId4"/>
    <sheet name="descreptive stats" sheetId="7" r:id="rId5"/>
    <sheet name="GROWTH" sheetId="8" r:id="rId6"/>
    <sheet name="now(_" sheetId="9" r:id="rId7"/>
    <sheet name="INDEX + MATCH" sheetId="10" r:id="rId8"/>
    <sheet name="pivot" sheetId="12" r:id="rId9"/>
    <sheet name="charts" sheetId="14" r:id="rId10"/>
    <sheet name="dashboard" sheetId="16" r:id="rId11"/>
  </sheets>
  <definedNames>
    <definedName name="Slicer_Date">#N/A</definedName>
    <definedName name="Slicer_Order_ID">#N/A</definedName>
    <definedName name="Slicer_Product">#N/A</definedName>
    <definedName name="Slicer_Region">#N/A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10" l="1"/>
  <c r="O5" i="10" a="1"/>
  <c r="O5" i="10" s="1"/>
  <c r="E3" i="9"/>
  <c r="E4" i="9"/>
  <c r="E5" i="9"/>
  <c r="E6" i="9"/>
  <c r="E7" i="9"/>
  <c r="E8" i="9"/>
  <c r="E9" i="9"/>
  <c r="E10" i="9"/>
  <c r="E11" i="9"/>
  <c r="E2" i="9"/>
  <c r="C2" i="8"/>
  <c r="C3" i="8"/>
  <c r="C4" i="8"/>
  <c r="C5" i="8"/>
  <c r="C6" i="8"/>
  <c r="C7" i="8"/>
  <c r="J4" i="4" l="1"/>
  <c r="J5" i="4" s="1"/>
  <c r="J6" i="4" s="1"/>
  <c r="J7" i="4" s="1"/>
  <c r="J8" i="4" s="1"/>
  <c r="J9" i="4" s="1"/>
  <c r="J10" i="4" s="1"/>
  <c r="J11" i="4" s="1"/>
  <c r="J12" i="4" s="1"/>
  <c r="C3" i="4"/>
  <c r="C4" i="4" s="1"/>
  <c r="C5" i="4" s="1"/>
  <c r="C6" i="4" s="1"/>
  <c r="C7" i="4" s="1"/>
  <c r="C8" i="4" s="1"/>
  <c r="C9" i="4" s="1"/>
  <c r="C10" i="4" s="1"/>
  <c r="C11" i="4" s="1"/>
  <c r="D2" i="4"/>
  <c r="K3" i="4" s="1"/>
  <c r="H3"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<sst xmlns="http://schemas.openxmlformats.org/spreadsheetml/2006/main" count="434" uniqueCount="105">
  <si>
    <t>Order_ID</t>
  </si>
  <si>
    <t>Date</t>
  </si>
  <si>
    <t>Customer_ID</t>
  </si>
  <si>
    <t>Customer_Name</t>
  </si>
  <si>
    <t>Region</t>
  </si>
  <si>
    <t>Product</t>
  </si>
  <si>
    <t>Category</t>
  </si>
  <si>
    <t>Quantity</t>
  </si>
  <si>
    <t>Unit_Price</t>
  </si>
  <si>
    <t>Discount %</t>
  </si>
  <si>
    <t>Sales</t>
  </si>
  <si>
    <t>Cost</t>
  </si>
  <si>
    <t>Profit</t>
  </si>
  <si>
    <t>O1001</t>
  </si>
  <si>
    <t>C101</t>
  </si>
  <si>
    <t>Rahul Shah</t>
  </si>
  <si>
    <t>West</t>
  </si>
  <si>
    <t>FIBC Bag</t>
  </si>
  <si>
    <t>Packaging</t>
  </si>
  <si>
    <t>O1002</t>
  </si>
  <si>
    <t>C102</t>
  </si>
  <si>
    <t>Priya Patel</t>
  </si>
  <si>
    <t>North</t>
  </si>
  <si>
    <t>Psyllium Husk</t>
  </si>
  <si>
    <t>Agro</t>
  </si>
  <si>
    <t>O1003</t>
  </si>
  <si>
    <t>C103</t>
  </si>
  <si>
    <t>Amit Verma</t>
  </si>
  <si>
    <t>South</t>
  </si>
  <si>
    <t>O1004</t>
  </si>
  <si>
    <t>C104</t>
  </si>
  <si>
    <t>Neha Singh</t>
  </si>
  <si>
    <t>East</t>
  </si>
  <si>
    <t>O1005</t>
  </si>
  <si>
    <t>C105</t>
  </si>
  <si>
    <t>Arjun Mehta</t>
  </si>
  <si>
    <t>O1006</t>
  </si>
  <si>
    <t>C106</t>
  </si>
  <si>
    <t>Karan Gupta</t>
  </si>
  <si>
    <t>O1007</t>
  </si>
  <si>
    <t>C107</t>
  </si>
  <si>
    <t>Simran Kaur</t>
  </si>
  <si>
    <t>O1008</t>
  </si>
  <si>
    <t>C108</t>
  </si>
  <si>
    <t>Rohan Jain</t>
  </si>
  <si>
    <t>O1009</t>
  </si>
  <si>
    <t>C109</t>
  </si>
  <si>
    <t>Deepak Kumar</t>
  </si>
  <si>
    <t>O1010</t>
  </si>
  <si>
    <t>C110</t>
  </si>
  <si>
    <t>Pooja Sharma</t>
  </si>
  <si>
    <t>Row Labels</t>
  </si>
  <si>
    <t>Grand Total</t>
  </si>
  <si>
    <t>Column Labels</t>
  </si>
  <si>
    <t>Sum of Sales</t>
  </si>
  <si>
    <t>discount</t>
  </si>
  <si>
    <t>sales</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</si>
  <si>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</si>
  <si>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</si>
  <si>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</si>
  <si>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</si>
  <si>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</si>
  <si>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</si>
  <si>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</si>
  <si>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</si>
  <si>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</si>
  <si>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</si>
  <si>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</si>
  <si>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</si>
  <si>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</si>
  <si>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</si>
  <si>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</si>
  <si>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</si>
  <si>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</si>
  <si>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</si>
  <si>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</si>
  <si>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</si>
  <si>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</si>
  <si>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</si>
  <si>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</si>
  <si>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</si>
  <si>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</si>
  <si>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Mean</t>
  </si>
  <si>
    <t>Median</t>
  </si>
  <si>
    <t>Mode</t>
  </si>
  <si>
    <t>Standard Deviation</t>
  </si>
  <si>
    <t>Sample Variance</t>
  </si>
  <si>
    <t>Kurtosis</t>
  </si>
  <si>
    <t>Skewness</t>
  </si>
  <si>
    <t>Range</t>
  </si>
  <si>
    <t>Minimum</t>
  </si>
  <si>
    <t>Maximum</t>
  </si>
  <si>
    <t>Sum</t>
  </si>
  <si>
    <t>Count</t>
  </si>
  <si>
    <t>DESCRIPTIVE STATISTICS</t>
  </si>
  <si>
    <t>Month</t>
  </si>
  <si>
    <t>Growth</t>
  </si>
  <si>
    <t>Jan</t>
  </si>
  <si>
    <t>Feb</t>
  </si>
  <si>
    <t>Mar</t>
  </si>
  <si>
    <t>Apr</t>
  </si>
  <si>
    <t>May</t>
  </si>
  <si>
    <t>Jun</t>
  </si>
  <si>
    <t>date</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</si>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</sst>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5" tint="0.79998168889431442"/>
        <bgColor theme="5" tint="0.79998168889431442"/>
      </patternFill>
    </fill>
    <fill>
      <patternFill patternType="solid">
        <fgColor theme="4" tint="0.79998168889431442"/>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2">
    <xf numFmtId="0" fontId="0" fillId="0" borderId="0" xfId="0"/>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0" fillId="0" borderId="7" xfId="0" applyBorder="1" applyAlignment="1">
      <alignment horizontal="center" vertical="center" wrapText="1"/>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pivotButton="1"/>
    <xf numFmtId="0" fontId="0" fillId="0" borderId="0" xfId="0" applyAlignment="1">
      <alignment horizontal="left"/>
    </xf>
    <xf numFmtId="0" fontId="0" fillId="0" borderId="1" xfId="0" pivotButton="1" applyBorder="1" applyAlignment="1">
      <alignment horizontal="center"/>
    </xf>
    <xf numFmtId="0" fontId="0" fillId="0" borderId="1" xfId="0" applyBorder="1" applyAlignment="1">
      <alignment horizontal="center"/>
    </xf>
    <xf numFmtId="0" fontId="1" fillId="0" borderId="1" xfId="0" applyFont="1" applyBorder="1" applyAlignment="1">
      <alignment horizontal="center" vertical="center" wrapText="1"/>
    </xf>
    <xf numFmtId="0" fontId="0" fillId="3" borderId="1" xfId="0" applyFill="1" applyBorder="1" applyAlignment="1">
      <alignment horizontal="center" vertical="center" wrapText="1"/>
    </xf>
    <xf numFmtId="0" fontId="0" fillId="0" borderId="10" xfId="0" applyBorder="1"/>
    <xf numFmtId="0" fontId="2" fillId="0" borderId="11" xfId="0" applyFont="1" applyBorder="1" applyAlignment="1">
      <alignment horizontal="center"/>
    </xf>
    <xf numFmtId="0" fontId="2" fillId="0" borderId="11" xfId="0" applyFont="1" applyBorder="1" applyAlignment="1">
      <alignment horizontal="centerContinuous"/>
    </xf>
    <xf numFmtId="0" fontId="0" fillId="4" borderId="1" xfId="0" applyFill="1" applyBorder="1" applyAlignment="1">
      <alignment horizontal="center"/>
    </xf>
    <xf numFmtId="0" fontId="0" fillId="4" borderId="1" xfId="0" applyFill="1" applyBorder="1" applyAlignment="1">
      <alignment horizontal="left"/>
    </xf>
    <xf numFmtId="0" fontId="0" fillId="0" borderId="2" xfId="0" applyBorder="1" applyAlignment="1">
      <alignment vertical="center" wrapText="1"/>
    </xf>
    <xf numFmtId="0" fontId="0" fillId="0" borderId="1" xfId="0" applyBorder="1"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22" fontId="0" fillId="3" borderId="1" xfId="0" applyNumberFormat="1" applyFill="1" applyBorder="1" applyAlignment="1">
      <alignment horizontal="center" vertical="center" wrapText="1"/>
    </xf>
    <xf numFmtId="0" fontId="0" fillId="2" borderId="1" xfId="0" applyFill="1" applyBorder="1" applyAlignment="1">
      <alignment horizontal="center" vertical="center" wrapText="1"/>
    </xf>
    <xf numFmtId="14" fontId="0" fillId="0" borderId="0" xfId="0" applyNumberFormat="1" applyAlignment="1">
      <alignment horizontal="left"/>
    </xf>
  </cellXfs>
  <cellStyles count="1">
    <cellStyle name="Normal" xfId="0" builtinId="0"/>
  </cellStyles>
  <dxfs count="84">
    <dxf>
      <font>
        <color rgb="FF9C0006"/>
      </font>
      <fill>
        <patternFill>
          <bgColor rgb="FFFFC7CE"/>
        </patternFill>
      </fill>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7295180985926"/>
          <c:y val="0.13786820371007927"/>
          <c:w val="0.71837685914260718"/>
          <c:h val="0.75047317002041414"/>
        </c:manualLayout>
      </c:layout>
      <c:barChart>
        <c:barDir val="bar"/>
        <c:grouping val="clustered"/>
        <c:varyColors val="0"/>
        <c:ser>
          <c:idx val="0"/>
          <c:order val="0"/>
          <c:tx>
            <c:strRef>
              <c:f>charts!$B$3:$B$4</c:f>
              <c:strCache>
                <c:ptCount val="1"/>
                <c:pt idx="0">
                  <c:v>East</c:v>
                </c:pt>
              </c:strCache>
            </c:strRef>
          </c:tx>
          <c:spPr>
            <a:solidFill>
              <a:schemeClr val="accent1"/>
            </a:solidFill>
            <a:ln>
              <a:noFill/>
            </a:ln>
            <a:effectLst/>
          </c:spPr>
          <c:invertIfNegative val="0"/>
          <c:cat>
            <c:strRef>
              <c:f>charts!$A$5</c:f>
              <c:strCache>
                <c:ptCount val="1"/>
                <c:pt idx="0">
                  <c:v>Total</c:v>
                </c:pt>
              </c:strCache>
            </c:strRef>
          </c:cat>
          <c:val>
            <c:numRef>
              <c:f>charts!$B$5</c:f>
              <c:numCache>
                <c:formatCode>General</c:formatCode>
                <c:ptCount val="1"/>
                <c:pt idx="0">
                  <c:v>1266</c:v>
                </c:pt>
              </c:numCache>
            </c:numRef>
          </c:val>
          <c:extLst>
            <c:ext xmlns:c16="http://schemas.microsoft.com/office/drawing/2014/chart" uri="{C3380CC4-5D6E-409C-BE32-E72D297353CC}">
              <c16:uniqueId val="{00000000-E018-4DD6-A296-7D859602B3F2}"/>
            </c:ext>
          </c:extLst>
        </c:ser>
        <c:dLbls>
          <c:showLegendKey val="0"/>
          <c:showVal val="0"/>
          <c:showCatName val="0"/>
          <c:showSerName val="0"/>
          <c:showPercent val="0"/>
          <c:showBubbleSize val="0"/>
        </c:dLbls>
        <c:gapWidth val="182"/>
        <c:axId val="272770415"/>
        <c:axId val="272774735"/>
      </c:barChart>
      <c:catAx>
        <c:axId val="27277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74735"/>
        <c:crosses val="autoZero"/>
        <c:auto val="1"/>
        <c:lblAlgn val="ctr"/>
        <c:lblOffset val="100"/>
        <c:noMultiLvlLbl val="0"/>
      </c:catAx>
      <c:valAx>
        <c:axId val="27277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7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charts!$J$2:$J$3</c:f>
              <c:strCache>
                <c:ptCount val="1"/>
                <c:pt idx="0">
                  <c:v>Psyllium Husk</c:v>
                </c:pt>
              </c:strCache>
            </c:strRef>
          </c:cat>
          <c:val>
            <c:numRef>
              <c:f>charts!$K$2:$K$3</c:f>
              <c:numCache>
                <c:formatCode>General</c:formatCode>
                <c:ptCount val="1"/>
                <c:pt idx="0">
                  <c:v>3389</c:v>
                </c:pt>
              </c:numCache>
            </c:numRef>
          </c:val>
          <c:smooth val="0"/>
          <c:extLst>
            <c:ext xmlns:c16="http://schemas.microsoft.com/office/drawing/2014/chart" uri="{C3380CC4-5D6E-409C-BE32-E72D297353CC}">
              <c16:uniqueId val="{00000000-F8D9-4EAF-881F-0AEBA03B054C}"/>
            </c:ext>
          </c:extLst>
        </c:ser>
        <c:dLbls>
          <c:showLegendKey val="0"/>
          <c:showVal val="0"/>
          <c:showCatName val="0"/>
          <c:showSerName val="0"/>
          <c:showPercent val="0"/>
          <c:showBubbleSize val="0"/>
        </c:dLbls>
        <c:marker val="1"/>
        <c:smooth val="0"/>
        <c:axId val="1203309679"/>
        <c:axId val="1203307759"/>
      </c:lineChart>
      <c:catAx>
        <c:axId val="120330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307759"/>
        <c:crosses val="autoZero"/>
        <c:auto val="1"/>
        <c:lblAlgn val="ctr"/>
        <c:lblOffset val="100"/>
        <c:noMultiLvlLbl val="0"/>
      </c:catAx>
      <c:valAx>
        <c:axId val="120330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30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charts!$V$4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7D-455C-9098-402BDF2882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7D-455C-9098-402BDF2882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7D-455C-9098-402BDF2882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7D-455C-9098-402BDF2882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7D-455C-9098-402BDF2882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47D-455C-9098-402BDF2882E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47D-455C-9098-402BDF2882E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47D-455C-9098-402BDF2882E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47D-455C-9098-402BDF2882E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47D-455C-9098-402BDF2882EC}"/>
              </c:ext>
            </c:extLst>
          </c:dPt>
          <c:cat>
            <c:strRef>
              <c:f>charts!$U$5:$U$15</c:f>
              <c:strCache>
                <c:ptCount val="10"/>
                <c:pt idx="0">
                  <c:v>01-01-2024</c:v>
                </c:pt>
                <c:pt idx="1">
                  <c:v>03-01-2024</c:v>
                </c:pt>
                <c:pt idx="2">
                  <c:v>05-01-2024</c:v>
                </c:pt>
                <c:pt idx="3">
                  <c:v>06-01-2024</c:v>
                </c:pt>
                <c:pt idx="4">
                  <c:v>08-01-2024</c:v>
                </c:pt>
                <c:pt idx="5">
                  <c:v>10-01-2024</c:v>
                </c:pt>
                <c:pt idx="6">
                  <c:v>12-01-2024</c:v>
                </c:pt>
                <c:pt idx="7">
                  <c:v>14-01-2024</c:v>
                </c:pt>
                <c:pt idx="8">
                  <c:v>16-01-2024</c:v>
                </c:pt>
                <c:pt idx="9">
                  <c:v>18-01-2024</c:v>
                </c:pt>
              </c:strCache>
            </c:strRef>
          </c:cat>
          <c:val>
            <c:numRef>
              <c:f>charts!$V$5:$V$15</c:f>
              <c:numCache>
                <c:formatCode>General</c:formatCode>
                <c:ptCount val="10"/>
                <c:pt idx="0">
                  <c:v>570</c:v>
                </c:pt>
                <c:pt idx="1">
                  <c:v>648</c:v>
                </c:pt>
                <c:pt idx="2">
                  <c:v>720</c:v>
                </c:pt>
                <c:pt idx="3">
                  <c:v>513</c:v>
                </c:pt>
                <c:pt idx="4">
                  <c:v>883</c:v>
                </c:pt>
                <c:pt idx="5">
                  <c:v>871</c:v>
                </c:pt>
                <c:pt idx="6">
                  <c:v>789</c:v>
                </c:pt>
                <c:pt idx="7">
                  <c:v>753</c:v>
                </c:pt>
                <c:pt idx="8">
                  <c:v>972</c:v>
                </c:pt>
                <c:pt idx="9">
                  <c:v>604</c:v>
                </c:pt>
              </c:numCache>
            </c:numRef>
          </c:val>
          <c:extLst>
            <c:ext xmlns:c16="http://schemas.microsoft.com/office/drawing/2014/chart" uri="{C3380CC4-5D6E-409C-BE32-E72D297353CC}">
              <c16:uniqueId val="{00000000-3DDD-429D-81FA-8E65CCE6B21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analyzer.xlsx]charts!PivotTable9</c:name>
    <c:fmtId val="1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7295180985926"/>
          <c:y val="0.13786820371007927"/>
          <c:w val="0.71837685914260718"/>
          <c:h val="0.75047317002041414"/>
        </c:manualLayout>
      </c:layout>
      <c:barChart>
        <c:barDir val="bar"/>
        <c:grouping val="clustered"/>
        <c:varyColors val="0"/>
        <c:ser>
          <c:idx val="0"/>
          <c:order val="0"/>
          <c:tx>
            <c:strRef>
              <c:f>charts!$B$3:$B$4</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charts!$A$5</c:f>
              <c:strCache>
                <c:ptCount val="1"/>
                <c:pt idx="0">
                  <c:v>Total</c:v>
                </c:pt>
              </c:strCache>
            </c:strRef>
          </c:cat>
          <c:val>
            <c:numRef>
              <c:f>charts!$B$5</c:f>
              <c:numCache>
                <c:formatCode>General</c:formatCode>
                <c:ptCount val="1"/>
                <c:pt idx="0">
                  <c:v>1266</c:v>
                </c:pt>
              </c:numCache>
            </c:numRef>
          </c:val>
          <c:extLst>
            <c:ext xmlns:c16="http://schemas.microsoft.com/office/drawing/2014/chart" uri="{C3380CC4-5D6E-409C-BE32-E72D297353CC}">
              <c16:uniqueId val="{00000000-1236-4CD4-8A9C-B8186EF855A4}"/>
            </c:ext>
          </c:extLst>
        </c:ser>
        <c:dLbls>
          <c:showLegendKey val="0"/>
          <c:showVal val="0"/>
          <c:showCatName val="0"/>
          <c:showSerName val="0"/>
          <c:showPercent val="0"/>
          <c:showBubbleSize val="0"/>
        </c:dLbls>
        <c:gapWidth val="115"/>
        <c:overlap val="-20"/>
        <c:axId val="272770415"/>
        <c:axId val="272774735"/>
      </c:barChart>
      <c:catAx>
        <c:axId val="2727704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74735"/>
        <c:crosses val="autoZero"/>
        <c:auto val="1"/>
        <c:lblAlgn val="ctr"/>
        <c:lblOffset val="100"/>
        <c:noMultiLvlLbl val="0"/>
      </c:catAx>
      <c:valAx>
        <c:axId val="272774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77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analyzer.xlsx]charts!PivotTable10</c:name>
    <c:fmtId val="4"/>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charts!$J$2:$J$3</c:f>
              <c:strCache>
                <c:ptCount val="1"/>
                <c:pt idx="0">
                  <c:v>Psyllium Husk</c:v>
                </c:pt>
              </c:strCache>
            </c:strRef>
          </c:cat>
          <c:val>
            <c:numRef>
              <c:f>charts!$K$2:$K$3</c:f>
              <c:numCache>
                <c:formatCode>General</c:formatCode>
                <c:ptCount val="1"/>
                <c:pt idx="0">
                  <c:v>3389</c:v>
                </c:pt>
              </c:numCache>
            </c:numRef>
          </c:val>
          <c:smooth val="0"/>
          <c:extLst>
            <c:ext xmlns:c16="http://schemas.microsoft.com/office/drawing/2014/chart" uri="{C3380CC4-5D6E-409C-BE32-E72D297353CC}">
              <c16:uniqueId val="{00000000-C0F1-43F7-BFAF-FFCB3CD07EEF}"/>
            </c:ext>
          </c:extLst>
        </c:ser>
        <c:dLbls>
          <c:showLegendKey val="0"/>
          <c:showVal val="0"/>
          <c:showCatName val="0"/>
          <c:showSerName val="0"/>
          <c:showPercent val="0"/>
          <c:showBubbleSize val="0"/>
        </c:dLbls>
        <c:marker val="1"/>
        <c:smooth val="0"/>
        <c:axId val="1203309679"/>
        <c:axId val="1203307759"/>
      </c:lineChart>
      <c:catAx>
        <c:axId val="12033096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307759"/>
        <c:crosses val="autoZero"/>
        <c:auto val="1"/>
        <c:lblAlgn val="ctr"/>
        <c:lblOffset val="100"/>
        <c:noMultiLvlLbl val="0"/>
      </c:catAx>
      <c:valAx>
        <c:axId val="1203307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30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2 analyzer.xlsx]charts!PivotTable11</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charts!$V$4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9B4-4CE5-A1E6-81496A56B3C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9B4-4CE5-A1E6-81496A56B3C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9B4-4CE5-A1E6-81496A56B3C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9B4-4CE5-A1E6-81496A56B3CA}"/>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9B4-4CE5-A1E6-81496A56B3CA}"/>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9B4-4CE5-A1E6-81496A56B3CA}"/>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9B4-4CE5-A1E6-81496A56B3CA}"/>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9B4-4CE5-A1E6-81496A56B3CA}"/>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9B4-4CE5-A1E6-81496A56B3CA}"/>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9B4-4CE5-A1E6-81496A56B3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charts!$U$5:$U$15</c:f>
              <c:strCache>
                <c:ptCount val="10"/>
                <c:pt idx="0">
                  <c:v>01-01-2024</c:v>
                </c:pt>
                <c:pt idx="1">
                  <c:v>03-01-2024</c:v>
                </c:pt>
                <c:pt idx="2">
                  <c:v>05-01-2024</c:v>
                </c:pt>
                <c:pt idx="3">
                  <c:v>06-01-2024</c:v>
                </c:pt>
                <c:pt idx="4">
                  <c:v>08-01-2024</c:v>
                </c:pt>
                <c:pt idx="5">
                  <c:v>10-01-2024</c:v>
                </c:pt>
                <c:pt idx="6">
                  <c:v>12-01-2024</c:v>
                </c:pt>
                <c:pt idx="7">
                  <c:v>14-01-2024</c:v>
                </c:pt>
                <c:pt idx="8">
                  <c:v>16-01-2024</c:v>
                </c:pt>
                <c:pt idx="9">
                  <c:v>18-01-2024</c:v>
                </c:pt>
              </c:strCache>
            </c:strRef>
          </c:cat>
          <c:val>
            <c:numRef>
              <c:f>charts!$V$5:$V$15</c:f>
              <c:numCache>
                <c:formatCode>General</c:formatCode>
                <c:ptCount val="10"/>
                <c:pt idx="0">
                  <c:v>570</c:v>
                </c:pt>
                <c:pt idx="1">
                  <c:v>648</c:v>
                </c:pt>
                <c:pt idx="2">
                  <c:v>720</c:v>
                </c:pt>
                <c:pt idx="3">
                  <c:v>513</c:v>
                </c:pt>
                <c:pt idx="4">
                  <c:v>883</c:v>
                </c:pt>
                <c:pt idx="5">
                  <c:v>871</c:v>
                </c:pt>
                <c:pt idx="6">
                  <c:v>789</c:v>
                </c:pt>
                <c:pt idx="7">
                  <c:v>753</c:v>
                </c:pt>
                <c:pt idx="8">
                  <c:v>972</c:v>
                </c:pt>
                <c:pt idx="9">
                  <c:v>604</c:v>
                </c:pt>
              </c:numCache>
            </c:numRef>
          </c:val>
          <c:extLst>
            <c:ext xmlns:c16="http://schemas.microsoft.com/office/drawing/2014/chart" uri="{C3380CC4-5D6E-409C-BE32-E72D297353CC}">
              <c16:uniqueId val="{00000014-19B4-4CE5-A1E6-81496A56B3C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312420</xdr:colOff>
      <xdr:row>6</xdr:row>
      <xdr:rowOff>167640</xdr:rowOff>
    </xdr:from>
    <xdr:to>
      <xdr:col>11</xdr:col>
      <xdr:colOff>198120</xdr:colOff>
      <xdr:row>21</xdr:row>
      <xdr:rowOff>5715</xdr:rowOff>
    </xdr:to>
    <mc:AlternateContent xmlns:mc="http://schemas.openxmlformats.org/markup-compatibility/2006" xmlns:a14="http://schemas.microsoft.com/office/drawing/2010/main">
      <mc:Choice Requires="a14">
        <xdr:graphicFrame macro="">
          <xdr:nvGraphicFramePr>
            <xdr:cNvPr id="2" name="Order_ID">
              <a:extLst>
                <a:ext uri="{FF2B5EF4-FFF2-40B4-BE49-F238E27FC236}">
                  <a16:creationId xmlns:a16="http://schemas.microsoft.com/office/drawing/2014/main" id="{FE245ECD-100E-CDA5-AB71-7BA658B21C4F}"/>
                </a:ext>
              </a:extLst>
            </xdr:cNvPr>
            <xdr:cNvGraphicFramePr/>
          </xdr:nvGraphicFramePr>
          <xdr:xfrm>
            <a:off x="0" y="0"/>
            <a:ext cx="0" cy="0"/>
          </xdr:xfrm>
          <a:graphic>
            <a:graphicData uri="http://schemas.microsoft.com/office/drawing/2010/slicer">
              <sle:slicer xmlns:sle="http://schemas.microsoft.com/office/drawing/2010/slicer" name="Order_ID"/>
            </a:graphicData>
          </a:graphic>
        </xdr:graphicFrame>
      </mc:Choice>
      <mc:Fallback xmlns="">
        <xdr:sp macro="" textlink="">
          <xdr:nvSpPr>
            <xdr:cNvPr id="0" name=""/>
            <xdr:cNvSpPr>
              <a:spLocks noTextEdit="1"/>
            </xdr:cNvSpPr>
          </xdr:nvSpPr>
          <xdr:spPr>
            <a:xfrm>
              <a:off x="6301740" y="1264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5</xdr:row>
      <xdr:rowOff>11430</xdr:rowOff>
    </xdr:from>
    <xdr:to>
      <xdr:col>6</xdr:col>
      <xdr:colOff>396240</xdr:colOff>
      <xdr:row>19</xdr:row>
      <xdr:rowOff>152400</xdr:rowOff>
    </xdr:to>
    <xdr:graphicFrame macro="">
      <xdr:nvGraphicFramePr>
        <xdr:cNvPr id="2" name="Chart 1">
          <a:extLst>
            <a:ext uri="{FF2B5EF4-FFF2-40B4-BE49-F238E27FC236}">
              <a16:creationId xmlns:a16="http://schemas.microsoft.com/office/drawing/2014/main" id="{E865B6CC-F0A4-2957-0DEF-CF6700CBF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4</xdr:row>
      <xdr:rowOff>41910</xdr:rowOff>
    </xdr:from>
    <xdr:to>
      <xdr:col>16</xdr:col>
      <xdr:colOff>114300</xdr:colOff>
      <xdr:row>14</xdr:row>
      <xdr:rowOff>152400</xdr:rowOff>
    </xdr:to>
    <xdr:graphicFrame macro="">
      <xdr:nvGraphicFramePr>
        <xdr:cNvPr id="3" name="Chart 2">
          <a:extLst>
            <a:ext uri="{FF2B5EF4-FFF2-40B4-BE49-F238E27FC236}">
              <a16:creationId xmlns:a16="http://schemas.microsoft.com/office/drawing/2014/main" id="{5CAE803B-544E-8242-B7DA-BD47BDEED3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220980</xdr:colOff>
      <xdr:row>2</xdr:row>
      <xdr:rowOff>87630</xdr:rowOff>
    </xdr:from>
    <xdr:to>
      <xdr:col>34</xdr:col>
      <xdr:colOff>381000</xdr:colOff>
      <xdr:row>17</xdr:row>
      <xdr:rowOff>87630</xdr:rowOff>
    </xdr:to>
    <xdr:graphicFrame macro="">
      <xdr:nvGraphicFramePr>
        <xdr:cNvPr id="4" name="Chart 3">
          <a:extLst>
            <a:ext uri="{FF2B5EF4-FFF2-40B4-BE49-F238E27FC236}">
              <a16:creationId xmlns:a16="http://schemas.microsoft.com/office/drawing/2014/main" id="{B160FD4A-8D1C-7588-008D-E886436CC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236220</xdr:colOff>
      <xdr:row>8</xdr:row>
      <xdr:rowOff>15240</xdr:rowOff>
    </xdr:from>
    <xdr:to>
      <xdr:col>6</xdr:col>
      <xdr:colOff>129540</xdr:colOff>
      <xdr:row>20</xdr:row>
      <xdr:rowOff>83820</xdr:rowOff>
    </xdr:to>
    <xdr:graphicFrame macro="">
      <xdr:nvGraphicFramePr>
        <xdr:cNvPr id="2" name="Chart 1">
          <a:extLst>
            <a:ext uri="{FF2B5EF4-FFF2-40B4-BE49-F238E27FC236}">
              <a16:creationId xmlns:a16="http://schemas.microsoft.com/office/drawing/2014/main" id="{0C587B6D-E8A7-4772-82E8-8B1BEDFDE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xdr:colOff>
      <xdr:row>8</xdr:row>
      <xdr:rowOff>106680</xdr:rowOff>
    </xdr:from>
    <xdr:to>
      <xdr:col>14</xdr:col>
      <xdr:colOff>251460</xdr:colOff>
      <xdr:row>20</xdr:row>
      <xdr:rowOff>22860</xdr:rowOff>
    </xdr:to>
    <xdr:graphicFrame macro="">
      <xdr:nvGraphicFramePr>
        <xdr:cNvPr id="3" name="Chart 2">
          <a:extLst>
            <a:ext uri="{FF2B5EF4-FFF2-40B4-BE49-F238E27FC236}">
              <a16:creationId xmlns:a16="http://schemas.microsoft.com/office/drawing/2014/main" id="{593DD87F-8513-497D-9B7F-75722000C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137160</xdr:colOff>
      <xdr:row>7</xdr:row>
      <xdr:rowOff>175260</xdr:rowOff>
    </xdr:from>
    <xdr:to>
      <xdr:col>22</xdr:col>
      <xdr:colOff>457200</xdr:colOff>
      <xdr:row>21</xdr:row>
      <xdr:rowOff>106680</xdr:rowOff>
    </xdr:to>
    <xdr:graphicFrame macro="">
      <xdr:nvGraphicFramePr>
        <xdr:cNvPr id="4" name="Chart 3">
          <a:extLst>
            <a:ext uri="{FF2B5EF4-FFF2-40B4-BE49-F238E27FC236}">
              <a16:creationId xmlns:a16="http://schemas.microsoft.com/office/drawing/2014/main" id="{BD40B3BC-2CBB-4275-94EC-E770EB1967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83820</xdr:colOff>
      <xdr:row>2</xdr:row>
      <xdr:rowOff>53340</xdr:rowOff>
    </xdr:from>
    <xdr:ext cx="184731" cy="264560"/>
    <xdr:sp macro="" textlink="">
      <xdr:nvSpPr>
        <xdr:cNvPr id="5" name="TextBox 4">
          <a:extLst>
            <a:ext uri="{FF2B5EF4-FFF2-40B4-BE49-F238E27FC236}">
              <a16:creationId xmlns:a16="http://schemas.microsoft.com/office/drawing/2014/main" id="{BDB97631-A6EC-A06D-3E16-2ABF315F21ED}"/>
            </a:ext>
          </a:extLst>
        </xdr:cNvPr>
        <xdr:cNvSpPr txBox="1"/>
      </xdr:nvSpPr>
      <xdr:spPr>
        <a:xfrm>
          <a:off x="4351020" y="41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6</xdr:col>
      <xdr:colOff>356954</xdr:colOff>
      <xdr:row>1</xdr:row>
      <xdr:rowOff>68363</xdr:rowOff>
    </xdr:from>
    <xdr:ext cx="4894417" cy="937693"/>
    <xdr:sp macro="" textlink="">
      <xdr:nvSpPr>
        <xdr:cNvPr id="6" name="Rectangle 5">
          <a:extLst>
            <a:ext uri="{FF2B5EF4-FFF2-40B4-BE49-F238E27FC236}">
              <a16:creationId xmlns:a16="http://schemas.microsoft.com/office/drawing/2014/main" id="{7E603995-1855-9803-7F85-AB88CC040629}"/>
            </a:ext>
          </a:extLst>
        </xdr:cNvPr>
        <xdr:cNvSpPr/>
      </xdr:nvSpPr>
      <xdr:spPr>
        <a:xfrm>
          <a:off x="4014554" y="251243"/>
          <a:ext cx="4894417" cy="937693"/>
        </a:xfrm>
        <a:prstGeom prst="rect">
          <a:avLst/>
        </a:prstGeom>
        <a:noFill/>
      </xdr:spPr>
      <xdr:txBody>
        <a:bodyPr wrap="none" lIns="91440" tIns="45720" rIns="91440" bIns="45720">
          <a:spAutoFit/>
        </a:bodyPr>
        <a:lstStyle/>
        <a:p>
          <a:pPr algn="ctr"/>
          <a:r>
            <a:rPr lang="en-US" sz="5400" b="1" cap="none" spc="0">
              <a:ln w="22225">
                <a:solidFill>
                  <a:schemeClr val="accent2"/>
                </a:solidFill>
                <a:prstDash val="solid"/>
              </a:ln>
              <a:solidFill>
                <a:schemeClr val="accent2">
                  <a:lumMod val="40000"/>
                  <a:lumOff val="60000"/>
                </a:schemeClr>
              </a:solidFill>
              <a:effectLst/>
            </a:rPr>
            <a:t>sales</a:t>
          </a:r>
          <a:r>
            <a:rPr lang="en-US" sz="5400" b="1" cap="none" spc="0" baseline="0">
              <a:ln w="22225">
                <a:solidFill>
                  <a:schemeClr val="accent2"/>
                </a:solidFill>
                <a:prstDash val="solid"/>
              </a:ln>
              <a:solidFill>
                <a:schemeClr val="accent2">
                  <a:lumMod val="40000"/>
                  <a:lumOff val="60000"/>
                </a:schemeClr>
              </a:solidFill>
              <a:effectLst/>
            </a:rPr>
            <a:t> dashboard</a:t>
          </a:r>
          <a:endParaRPr lang="en-US" sz="5400" b="1" cap="none" spc="0">
            <a:ln w="22225">
              <a:solidFill>
                <a:schemeClr val="accent2"/>
              </a:solidFill>
              <a:prstDash val="solid"/>
            </a:ln>
            <a:solidFill>
              <a:schemeClr val="accent2">
                <a:lumMod val="40000"/>
                <a:lumOff val="60000"/>
              </a:schemeClr>
            </a:solidFill>
            <a:effectLst/>
          </a:endParaRPr>
        </a:p>
      </xdr:txBody>
    </xdr:sp>
    <xdr:clientData/>
  </xdr:oneCellAnchor>
  <xdr:twoCellAnchor editAs="oneCell">
    <xdr:from>
      <xdr:col>0</xdr:col>
      <xdr:colOff>441960</xdr:colOff>
      <xdr:row>21</xdr:row>
      <xdr:rowOff>68581</xdr:rowOff>
    </xdr:from>
    <xdr:to>
      <xdr:col>4</xdr:col>
      <xdr:colOff>586740</xdr:colOff>
      <xdr:row>24</xdr:row>
      <xdr:rowOff>137160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DEF0E28-9ED0-0296-A316-04218B84A11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1960" y="3909061"/>
              <a:ext cx="258318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60960</xdr:colOff>
      <xdr:row>21</xdr:row>
      <xdr:rowOff>1</xdr:rowOff>
    </xdr:from>
    <xdr:to>
      <xdr:col>11</xdr:col>
      <xdr:colOff>312420</xdr:colOff>
      <xdr:row>24</xdr:row>
      <xdr:rowOff>121920</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C0BE1436-4B0D-8019-59A5-1DC50BA1EB4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328160" y="3840481"/>
              <a:ext cx="2689860" cy="670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22</xdr:row>
      <xdr:rowOff>38101</xdr:rowOff>
    </xdr:from>
    <xdr:to>
      <xdr:col>22</xdr:col>
      <xdr:colOff>403860</xdr:colOff>
      <xdr:row>27</xdr:row>
      <xdr:rowOff>160020</xdr:rowOff>
    </xdr:to>
    <mc:AlternateContent xmlns:mc="http://schemas.openxmlformats.org/markup-compatibility/2006" xmlns:a14="http://schemas.microsoft.com/office/drawing/2010/main">
      <mc:Choice Requires="a14">
        <xdr:graphicFrame macro="">
          <xdr:nvGraphicFramePr>
            <xdr:cNvPr id="12" name="Date">
              <a:extLst>
                <a:ext uri="{FF2B5EF4-FFF2-40B4-BE49-F238E27FC236}">
                  <a16:creationId xmlns:a16="http://schemas.microsoft.com/office/drawing/2014/main" id="{6B6831DE-7B19-12BC-6E0F-D0C80F97D72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9281160" y="4061461"/>
              <a:ext cx="4533900" cy="1036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 k" refreshedDate="46097.483593634257" createdVersion="8" refreshedVersion="8" minRefreshableVersion="3" recordCount="10" xr:uid="{DC2A198A-EE95-4DEE-979E-29E736356CBB}">
  <cacheSource type="worksheet">
    <worksheetSource name="Table1"/>
  </cacheSource>
  <cacheFields count="13">
    <cacheField name="Order_ID" numFmtId="0">
      <sharedItems/>
    </cacheField>
    <cacheField name="Date" numFmtId="14">
      <sharedItems containsSemiMixedTypes="0" containsNonDate="0" containsDate="1" containsString="0" minDate="2024-01-01T00:00:00" maxDate="2024-01-19T00:00:00"/>
    </cacheField>
    <cacheField name="Customer_ID" numFmtId="0">
      <sharedItems/>
    </cacheField>
    <cacheField name="Customer_Name" numFmtId="0">
      <sharedItems count="10">
        <s v="Rahul Shah"/>
        <s v="Priya Patel"/>
        <s v="Amit Verma"/>
        <s v="Neha Singh"/>
        <s v="Arjun Mehta"/>
        <s v="Karan Gupta"/>
        <s v="Simran Kaur"/>
        <s v="Rohan Jain"/>
        <s v="Deepak Kumar"/>
        <s v="Pooja Sharma"/>
      </sharedItems>
    </cacheField>
    <cacheField name="Region" numFmtId="0">
      <sharedItems/>
    </cacheField>
    <cacheField name="Product" numFmtId="0">
      <sharedItems count="2">
        <s v="FIBC Bag"/>
        <s v="Psyllium Husk"/>
      </sharedItems>
    </cacheField>
    <cacheField name="Category" numFmtId="0">
      <sharedItems/>
    </cacheField>
    <cacheField name="Quantity" numFmtId="0">
      <sharedItems containsSemiMixedTypes="0" containsString="0" containsNumber="1" containsInteger="1" minValue="30" maxValue="90" count="10">
        <n v="50"/>
        <n v="40"/>
        <n v="60"/>
        <n v="30"/>
        <n v="80"/>
        <n v="55"/>
        <n v="70"/>
        <n v="45"/>
        <n v="90"/>
        <n v="35"/>
      </sharedItems>
    </cacheField>
    <cacheField name="Unit_Price" numFmtId="0">
      <sharedItems containsSemiMixedTypes="0" containsString="0" containsNumber="1" containsInteger="1" minValue="12" maxValue="18"/>
    </cacheField>
    <cacheField name="Discount %" numFmtId="0">
      <sharedItems containsSemiMixedTypes="0" containsString="0" containsNumber="1" containsInteger="1" minValue="0" maxValue="12"/>
    </cacheField>
    <cacheField name="Sales" numFmtId="0">
      <sharedItems containsSemiMixedTypes="0" containsString="0" containsNumber="1" containsInteger="1" minValue="513" maxValue="972"/>
    </cacheField>
    <cacheField name="Cost" numFmtId="0">
      <sharedItems containsSemiMixedTypes="0" containsString="0" containsNumber="1" containsInteger="1" minValue="380" maxValue="780"/>
    </cacheField>
    <cacheField name="Profit" numFmtId="0">
      <sharedItems containsSemiMixedTypes="0" containsString="0" containsNumber="1" containsInteger="1" minValue="120" maxValue="1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 k" refreshedDate="46097.515388425927" createdVersion="8" refreshedVersion="8" minRefreshableVersion="3" recordCount="10" xr:uid="{C08D2EFD-C36C-42A1-AC90-09D388894FD8}">
  <cacheSource type="worksheet">
    <worksheetSource name="Table17"/>
  </cacheSource>
  <cacheFields count="13">
    <cacheField name="Order_ID" numFmtId="0">
      <sharedItems count="10">
        <s v="O1001"/>
        <s v="O1002"/>
        <s v="O1003"/>
        <s v="O1004"/>
        <s v="O1005"/>
        <s v="O1006"/>
        <s v="O1007"/>
        <s v="O1008"/>
        <s v="O1009"/>
        <s v="O1010"/>
      </sharedItems>
    </cacheField>
    <cacheField name="Date" numFmtId="14">
      <sharedItems containsSemiMixedTypes="0" containsNonDate="0" containsDate="1" containsString="0" minDate="2024-01-01T00:00:00" maxDate="2024-01-19T00:00:00"/>
    </cacheField>
    <cacheField name="Customer_ID" numFmtId="0">
      <sharedItems/>
    </cacheField>
    <cacheField name="Customer_Name" numFmtId="0">
      <sharedItems/>
    </cacheField>
    <cacheField name="Region" numFmtId="0">
      <sharedItems count="4">
        <s v="West"/>
        <s v="North"/>
        <s v="South"/>
        <s v="East"/>
      </sharedItems>
    </cacheField>
    <cacheField name="Product" numFmtId="0">
      <sharedItems count="2">
        <s v="FIBC Bag"/>
        <s v="Psyllium Husk"/>
      </sharedItems>
    </cacheField>
    <cacheField name="Category" numFmtId="0">
      <sharedItems/>
    </cacheField>
    <cacheField name="Quantity" numFmtId="0">
      <sharedItems containsSemiMixedTypes="0" containsString="0" containsNumber="1" containsInteger="1" minValue="30" maxValue="90"/>
    </cacheField>
    <cacheField name="Unit_Price" numFmtId="0">
      <sharedItems containsSemiMixedTypes="0" containsString="0" containsNumber="1" containsInteger="1" minValue="12" maxValue="18"/>
    </cacheField>
    <cacheField name="Discount %" numFmtId="0">
      <sharedItems containsSemiMixedTypes="0" containsString="0" containsNumber="1" containsInteger="1" minValue="0" maxValue="12"/>
    </cacheField>
    <cacheField name="Sales" numFmtId="0">
      <sharedItems containsSemiMixedTypes="0" containsString="0" containsNumber="1" containsInteger="1" minValue="513" maxValue="972"/>
    </cacheField>
    <cacheField name="Cost" numFmtId="0">
      <sharedItems containsSemiMixedTypes="0" containsString="0" containsNumber="1" containsInteger="1" minValue="380" maxValue="780"/>
    </cacheField>
    <cacheField name="Profit" numFmtId="0">
      <sharedItems containsSemiMixedTypes="0" containsString="0" containsNumber="1" containsInteger="1" minValue="120" maxValue="192"/>
    </cacheField>
  </cacheFields>
  <extLst>
    <ext xmlns:x14="http://schemas.microsoft.com/office/spreadsheetml/2009/9/main" uri="{725AE2AE-9491-48be-B2B4-4EB974FC3084}">
      <x14:pivotCacheDefinition pivotCacheId="25663126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 k" refreshedDate="46097.52715115741" createdVersion="8" refreshedVersion="8" minRefreshableVersion="3" recordCount="10" xr:uid="{1AC0A0F9-DC17-48FE-A454-E9C7F44E2552}">
  <cacheSource type="worksheet">
    <worksheetSource name="Table168"/>
  </cacheSource>
  <cacheFields count="13">
    <cacheField name="Order_ID" numFmtId="0">
      <sharedItems/>
    </cacheField>
    <cacheField name="Date" numFmtId="14">
      <sharedItems containsSemiMixedTypes="0" containsNonDate="0" containsDate="1" containsString="0" minDate="2024-01-01T00:00:00" maxDate="2024-01-19T00:00:00" count="10">
        <d v="2024-01-01T00:00:00"/>
        <d v="2024-01-03T00:00:00"/>
        <d v="2024-01-05T00:00:00"/>
        <d v="2024-01-06T00:00:00"/>
        <d v="2024-01-08T00:00:00"/>
        <d v="2024-01-10T00:00:00"/>
        <d v="2024-01-12T00:00:00"/>
        <d v="2024-01-14T00:00:00"/>
        <d v="2024-01-16T00:00:00"/>
        <d v="2024-01-18T00:00:00"/>
      </sharedItems>
    </cacheField>
    <cacheField name="Customer_ID" numFmtId="0">
      <sharedItems/>
    </cacheField>
    <cacheField name="Customer_Name" numFmtId="0">
      <sharedItems/>
    </cacheField>
    <cacheField name="Region" numFmtId="0">
      <sharedItems count="4">
        <s v="West"/>
        <s v="North"/>
        <s v="South"/>
        <s v="East"/>
      </sharedItems>
    </cacheField>
    <cacheField name="Product" numFmtId="0">
      <sharedItems count="2">
        <s v="FIBC Bag"/>
        <s v="Psyllium Husk"/>
      </sharedItems>
    </cacheField>
    <cacheField name="Category" numFmtId="0">
      <sharedItems count="2">
        <s v="Packaging"/>
        <s v="Agro"/>
      </sharedItems>
    </cacheField>
    <cacheField name="Quantity" numFmtId="0">
      <sharedItems containsSemiMixedTypes="0" containsString="0" containsNumber="1" containsInteger="1" minValue="30" maxValue="90" count="10">
        <n v="50"/>
        <n v="40"/>
        <n v="60"/>
        <n v="30"/>
        <n v="80"/>
        <n v="55"/>
        <n v="70"/>
        <n v="45"/>
        <n v="90"/>
        <n v="35"/>
      </sharedItems>
    </cacheField>
    <cacheField name="Unit_Price" numFmtId="0">
      <sharedItems containsSemiMixedTypes="0" containsString="0" containsNumber="1" containsInteger="1" minValue="12" maxValue="18"/>
    </cacheField>
    <cacheField name="Discount %" numFmtId="0">
      <sharedItems containsSemiMixedTypes="0" containsString="0" containsNumber="1" containsInteger="1" minValue="0" maxValue="12"/>
    </cacheField>
    <cacheField name="Sales" numFmtId="0">
      <sharedItems containsSemiMixedTypes="0" containsString="0" containsNumber="1" containsInteger="1" minValue="513" maxValue="972" count="10">
        <n v="570"/>
        <n v="648"/>
        <n v="720"/>
        <n v="513"/>
        <n v="883"/>
        <n v="871"/>
        <n v="789"/>
        <n v="753"/>
        <n v="972"/>
        <n v="604"/>
      </sharedItems>
    </cacheField>
    <cacheField name="Cost" numFmtId="0">
      <sharedItems containsSemiMixedTypes="0" containsString="0" containsNumber="1" containsInteger="1" minValue="380" maxValue="780"/>
    </cacheField>
    <cacheField name="Profit" numFmtId="0">
      <sharedItems containsSemiMixedTypes="0" containsString="0" containsNumber="1" containsInteger="1" minValue="120" maxValue="192" count="10">
        <n v="120"/>
        <n v="148"/>
        <n v="180"/>
        <n v="133"/>
        <n v="183"/>
        <n v="181"/>
        <n v="169"/>
        <n v="153"/>
        <n v="192"/>
        <n v="134"/>
      </sharedItems>
    </cacheField>
  </cacheFields>
  <extLst>
    <ext xmlns:x14="http://schemas.microsoft.com/office/spreadsheetml/2009/9/main" uri="{725AE2AE-9491-48be-B2B4-4EB974FC3084}">
      <x14:pivotCacheDefinition pivotCacheId="5038945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1001"/>
    <d v="2024-01-01T00:00:00"/>
    <s v="C101"/>
    <x v="0"/>
    <s v="West"/>
    <x v="0"/>
    <s v="Packaging"/>
    <x v="0"/>
    <n v="12"/>
    <n v="5"/>
    <n v="570"/>
    <n v="450"/>
    <n v="120"/>
  </r>
  <r>
    <s v="O1002"/>
    <d v="2024-01-03T00:00:00"/>
    <s v="C102"/>
    <x v="1"/>
    <s v="North"/>
    <x v="1"/>
    <s v="Agro"/>
    <x v="1"/>
    <n v="18"/>
    <n v="10"/>
    <n v="648"/>
    <n v="500"/>
    <n v="148"/>
  </r>
  <r>
    <s v="O1003"/>
    <d v="2024-01-05T00:00:00"/>
    <s v="C103"/>
    <x v="2"/>
    <s v="South"/>
    <x v="0"/>
    <s v="Packaging"/>
    <x v="2"/>
    <n v="12"/>
    <n v="0"/>
    <n v="720"/>
    <n v="540"/>
    <n v="180"/>
  </r>
  <r>
    <s v="O1004"/>
    <d v="2024-01-06T00:00:00"/>
    <s v="C104"/>
    <x v="3"/>
    <s v="East"/>
    <x v="1"/>
    <s v="Agro"/>
    <x v="3"/>
    <n v="18"/>
    <n v="5"/>
    <n v="513"/>
    <n v="380"/>
    <n v="133"/>
  </r>
  <r>
    <s v="O1005"/>
    <d v="2024-01-08T00:00:00"/>
    <s v="C105"/>
    <x v="4"/>
    <s v="West"/>
    <x v="0"/>
    <s v="Packaging"/>
    <x v="4"/>
    <n v="12"/>
    <n v="8"/>
    <n v="883"/>
    <n v="700"/>
    <n v="183"/>
  </r>
  <r>
    <s v="O1006"/>
    <d v="2024-01-10T00:00:00"/>
    <s v="C106"/>
    <x v="5"/>
    <s v="North"/>
    <x v="1"/>
    <s v="Agro"/>
    <x v="5"/>
    <n v="18"/>
    <n v="12"/>
    <n v="871"/>
    <n v="690"/>
    <n v="181"/>
  </r>
  <r>
    <s v="O1007"/>
    <d v="2024-01-12T00:00:00"/>
    <s v="C107"/>
    <x v="6"/>
    <s v="South"/>
    <x v="0"/>
    <s v="Packaging"/>
    <x v="6"/>
    <n v="12"/>
    <n v="6"/>
    <n v="789"/>
    <n v="620"/>
    <n v="169"/>
  </r>
  <r>
    <s v="O1008"/>
    <d v="2024-01-14T00:00:00"/>
    <s v="C108"/>
    <x v="7"/>
    <s v="East"/>
    <x v="1"/>
    <s v="Agro"/>
    <x v="7"/>
    <n v="18"/>
    <n v="7"/>
    <n v="753"/>
    <n v="600"/>
    <n v="153"/>
  </r>
  <r>
    <s v="O1009"/>
    <d v="2024-01-16T00:00:00"/>
    <s v="C109"/>
    <x v="8"/>
    <s v="West"/>
    <x v="0"/>
    <s v="Packaging"/>
    <x v="8"/>
    <n v="12"/>
    <n v="10"/>
    <n v="972"/>
    <n v="780"/>
    <n v="192"/>
  </r>
  <r>
    <s v="O1010"/>
    <d v="2024-01-18T00:00:00"/>
    <s v="C110"/>
    <x v="9"/>
    <s v="North"/>
    <x v="1"/>
    <s v="Agro"/>
    <x v="9"/>
    <n v="18"/>
    <n v="4"/>
    <n v="604"/>
    <n v="470"/>
    <n v="1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d v="2024-01-01T00:00:00"/>
    <s v="C101"/>
    <s v="Rahul Shah"/>
    <x v="0"/>
    <x v="0"/>
    <s v="Packaging"/>
    <n v="50"/>
    <n v="12"/>
    <n v="5"/>
    <n v="570"/>
    <n v="450"/>
    <n v="120"/>
  </r>
  <r>
    <x v="1"/>
    <d v="2024-01-03T00:00:00"/>
    <s v="C102"/>
    <s v="Priya Patel"/>
    <x v="1"/>
    <x v="1"/>
    <s v="Agro"/>
    <n v="40"/>
    <n v="18"/>
    <n v="10"/>
    <n v="648"/>
    <n v="500"/>
    <n v="148"/>
  </r>
  <r>
    <x v="2"/>
    <d v="2024-01-05T00:00:00"/>
    <s v="C103"/>
    <s v="Amit Verma"/>
    <x v="2"/>
    <x v="0"/>
    <s v="Packaging"/>
    <n v="60"/>
    <n v="12"/>
    <n v="0"/>
    <n v="720"/>
    <n v="540"/>
    <n v="180"/>
  </r>
  <r>
    <x v="3"/>
    <d v="2024-01-06T00:00:00"/>
    <s v="C104"/>
    <s v="Neha Singh"/>
    <x v="3"/>
    <x v="1"/>
    <s v="Agro"/>
    <n v="30"/>
    <n v="18"/>
    <n v="5"/>
    <n v="513"/>
    <n v="380"/>
    <n v="133"/>
  </r>
  <r>
    <x v="4"/>
    <d v="2024-01-08T00:00:00"/>
    <s v="C105"/>
    <s v="Arjun Mehta"/>
    <x v="0"/>
    <x v="0"/>
    <s v="Packaging"/>
    <n v="80"/>
    <n v="12"/>
    <n v="8"/>
    <n v="883"/>
    <n v="700"/>
    <n v="183"/>
  </r>
  <r>
    <x v="5"/>
    <d v="2024-01-10T00:00:00"/>
    <s v="C106"/>
    <s v="Karan Gupta"/>
    <x v="1"/>
    <x v="1"/>
    <s v="Agro"/>
    <n v="55"/>
    <n v="18"/>
    <n v="12"/>
    <n v="871"/>
    <n v="690"/>
    <n v="181"/>
  </r>
  <r>
    <x v="6"/>
    <d v="2024-01-12T00:00:00"/>
    <s v="C107"/>
    <s v="Simran Kaur"/>
    <x v="2"/>
    <x v="0"/>
    <s v="Packaging"/>
    <n v="70"/>
    <n v="12"/>
    <n v="6"/>
    <n v="789"/>
    <n v="620"/>
    <n v="169"/>
  </r>
  <r>
    <x v="7"/>
    <d v="2024-01-14T00:00:00"/>
    <s v="C108"/>
    <s v="Rohan Jain"/>
    <x v="3"/>
    <x v="1"/>
    <s v="Agro"/>
    <n v="45"/>
    <n v="18"/>
    <n v="7"/>
    <n v="753"/>
    <n v="600"/>
    <n v="153"/>
  </r>
  <r>
    <x v="8"/>
    <d v="2024-01-16T00:00:00"/>
    <s v="C109"/>
    <s v="Deepak Kumar"/>
    <x v="0"/>
    <x v="0"/>
    <s v="Packaging"/>
    <n v="90"/>
    <n v="12"/>
    <n v="10"/>
    <n v="972"/>
    <n v="780"/>
    <n v="192"/>
  </r>
  <r>
    <x v="9"/>
    <d v="2024-01-18T00:00:00"/>
    <s v="C110"/>
    <s v="Pooja Sharma"/>
    <x v="1"/>
    <x v="1"/>
    <s v="Agro"/>
    <n v="35"/>
    <n v="18"/>
    <n v="4"/>
    <n v="604"/>
    <n v="470"/>
    <n v="13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O1001"/>
    <x v="0"/>
    <s v="C101"/>
    <s v="Rahul Shah"/>
    <x v="0"/>
    <x v="0"/>
    <x v="0"/>
    <x v="0"/>
    <n v="12"/>
    <n v="5"/>
    <x v="0"/>
    <n v="450"/>
    <x v="0"/>
  </r>
  <r>
    <s v="O1002"/>
    <x v="1"/>
    <s v="C102"/>
    <s v="Priya Patel"/>
    <x v="1"/>
    <x v="1"/>
    <x v="1"/>
    <x v="1"/>
    <n v="18"/>
    <n v="10"/>
    <x v="1"/>
    <n v="500"/>
    <x v="1"/>
  </r>
  <r>
    <s v="O1003"/>
    <x v="2"/>
    <s v="C103"/>
    <s v="Amit Verma"/>
    <x v="2"/>
    <x v="0"/>
    <x v="0"/>
    <x v="2"/>
    <n v="12"/>
    <n v="0"/>
    <x v="2"/>
    <n v="540"/>
    <x v="2"/>
  </r>
  <r>
    <s v="O1004"/>
    <x v="3"/>
    <s v="C104"/>
    <s v="Neha Singh"/>
    <x v="3"/>
    <x v="1"/>
    <x v="1"/>
    <x v="3"/>
    <n v="18"/>
    <n v="5"/>
    <x v="3"/>
    <n v="380"/>
    <x v="3"/>
  </r>
  <r>
    <s v="O1005"/>
    <x v="4"/>
    <s v="C105"/>
    <s v="Arjun Mehta"/>
    <x v="0"/>
    <x v="0"/>
    <x v="0"/>
    <x v="4"/>
    <n v="12"/>
    <n v="8"/>
    <x v="4"/>
    <n v="700"/>
    <x v="4"/>
  </r>
  <r>
    <s v="O1006"/>
    <x v="5"/>
    <s v="C106"/>
    <s v="Karan Gupta"/>
    <x v="1"/>
    <x v="1"/>
    <x v="1"/>
    <x v="5"/>
    <n v="18"/>
    <n v="12"/>
    <x v="5"/>
    <n v="690"/>
    <x v="5"/>
  </r>
  <r>
    <s v="O1007"/>
    <x v="6"/>
    <s v="C107"/>
    <s v="Simran Kaur"/>
    <x v="2"/>
    <x v="0"/>
    <x v="0"/>
    <x v="6"/>
    <n v="12"/>
    <n v="6"/>
    <x v="6"/>
    <n v="620"/>
    <x v="6"/>
  </r>
  <r>
    <s v="O1008"/>
    <x v="7"/>
    <s v="C108"/>
    <s v="Rohan Jain"/>
    <x v="3"/>
    <x v="1"/>
    <x v="1"/>
    <x v="7"/>
    <n v="18"/>
    <n v="7"/>
    <x v="7"/>
    <n v="600"/>
    <x v="7"/>
  </r>
  <r>
    <s v="O1009"/>
    <x v="8"/>
    <s v="C109"/>
    <s v="Deepak Kumar"/>
    <x v="0"/>
    <x v="0"/>
    <x v="0"/>
    <x v="8"/>
    <n v="12"/>
    <n v="10"/>
    <x v="8"/>
    <n v="780"/>
    <x v="8"/>
  </r>
  <r>
    <s v="O1010"/>
    <x v="9"/>
    <s v="C110"/>
    <s v="Pooja Sharma"/>
    <x v="1"/>
    <x v="1"/>
    <x v="1"/>
    <x v="9"/>
    <n v="18"/>
    <n v="4"/>
    <x v="9"/>
    <n v="47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BB3108-503D-4256-8CA8-893EB7FAB5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5" firstHeaderRow="1" firstDataRow="2" firstDataCol="1"/>
  <pivotFields count="13">
    <pivotField showAll="0"/>
    <pivotField numFmtId="14" showAll="0"/>
    <pivotField showAll="0"/>
    <pivotField axis="axisRow" showAll="0">
      <items count="11">
        <item x="2"/>
        <item x="4"/>
        <item x="8"/>
        <item x="5"/>
        <item x="3"/>
        <item x="9"/>
        <item x="1"/>
        <item x="0"/>
        <item x="7"/>
        <item x="6"/>
        <item t="default"/>
      </items>
    </pivotField>
    <pivotField showAll="0"/>
    <pivotField axis="axisCol" showAll="0">
      <items count="3">
        <item x="0"/>
        <item x="1"/>
        <item t="default"/>
      </items>
    </pivotField>
    <pivotField showAll="0"/>
    <pivotField showAll="0">
      <items count="11">
        <item x="3"/>
        <item x="9"/>
        <item x="1"/>
        <item x="7"/>
        <item x="0"/>
        <item x="5"/>
        <item x="2"/>
        <item x="6"/>
        <item x="4"/>
        <item x="8"/>
        <item t="default"/>
      </items>
    </pivotField>
    <pivotField showAll="0"/>
    <pivotField showAll="0"/>
    <pivotField dataField="1" showAll="0"/>
    <pivotField showAll="0"/>
    <pivotField showAll="0"/>
  </pivotFields>
  <rowFields count="1">
    <field x="3"/>
  </rowFields>
  <rowItems count="11">
    <i>
      <x/>
    </i>
    <i>
      <x v="1"/>
    </i>
    <i>
      <x v="2"/>
    </i>
    <i>
      <x v="3"/>
    </i>
    <i>
      <x v="4"/>
    </i>
    <i>
      <x v="5"/>
    </i>
    <i>
      <x v="6"/>
    </i>
    <i>
      <x v="7"/>
    </i>
    <i>
      <x v="8"/>
    </i>
    <i>
      <x v="9"/>
    </i>
    <i t="grand">
      <x/>
    </i>
  </rowItems>
  <colFields count="1">
    <field x="5"/>
  </colFields>
  <colItems count="3">
    <i>
      <x/>
    </i>
    <i>
      <x v="1"/>
    </i>
    <i t="grand">
      <x/>
    </i>
  </colItems>
  <dataFields count="1">
    <dataField name="Sum of Sales" fld="10" baseField="0" baseItem="0"/>
  </dataFields>
  <formats count="3">
    <format dxfId="65">
      <pivotArea type="all" dataOnly="0" outline="0" fieldPosition="0"/>
    </format>
    <format dxfId="64">
      <pivotArea type="all" dataOnly="0" outline="0" fieldPosition="0"/>
    </format>
    <format dxfId="63">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012B54-1660-4B97-9F03-EB7B592233AD}" name="PivotTable2" cacheId="1"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3:D9" firstHeaderRow="1" firstDataRow="2" firstDataCol="1"/>
  <pivotFields count="13">
    <pivotField showAll="0" insertBlankRow="1">
      <items count="11">
        <item x="0"/>
        <item x="1"/>
        <item x="2"/>
        <item x="3"/>
        <item x="4"/>
        <item x="5"/>
        <item x="6"/>
        <item x="7"/>
        <item x="8"/>
        <item x="9"/>
        <item t="default"/>
      </items>
    </pivotField>
    <pivotField numFmtId="14" showAll="0" insertBlankRow="1"/>
    <pivotField showAll="0" insertBlankRow="1"/>
    <pivotField showAll="0" insertBlankRow="1"/>
    <pivotField axis="axisRow" showAll="0" insertBlankRow="1">
      <items count="5">
        <item x="3"/>
        <item x="1"/>
        <item x="2"/>
        <item x="0"/>
        <item t="default"/>
      </items>
    </pivotField>
    <pivotField axis="axisCol" showAll="0" insertBlankRow="1">
      <items count="3">
        <item x="0"/>
        <item x="1"/>
        <item t="default"/>
      </items>
    </pivotField>
    <pivotField showAll="0" insertBlankRow="1"/>
    <pivotField showAll="0" insertBlankRow="1"/>
    <pivotField showAll="0" insertBlankRow="1"/>
    <pivotField showAll="0" insertBlankRow="1"/>
    <pivotField dataField="1" showAll="0" insertBlankRow="1"/>
    <pivotField showAll="0" insertBlankRow="1"/>
    <pivotField showAll="0" insertBlankRow="1"/>
  </pivotFields>
  <rowFields count="1">
    <field x="4"/>
  </rowFields>
  <rowItems count="5">
    <i>
      <x/>
    </i>
    <i>
      <x v="1"/>
    </i>
    <i>
      <x v="2"/>
    </i>
    <i>
      <x v="3"/>
    </i>
    <i t="grand">
      <x/>
    </i>
  </rowItems>
  <colFields count="1">
    <field x="5"/>
  </colFields>
  <colItems count="3">
    <i>
      <x/>
    </i>
    <i>
      <x v="1"/>
    </i>
    <i t="grand">
      <x/>
    </i>
  </colItems>
  <dataFields count="1">
    <dataField name="Sum of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E4310-B797-468C-9CD0-AB896F837380}"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U4:V15" firstHeaderRow="1" firstDataRow="1" firstDataCol="1"/>
  <pivotFields count="13">
    <pivotField showAll="0"/>
    <pivotField axis="axisRow" numFmtId="14" showAll="0">
      <items count="11">
        <item x="0"/>
        <item x="1"/>
        <item x="2"/>
        <item x="3"/>
        <item x="4"/>
        <item x="5"/>
        <item x="6"/>
        <item x="7"/>
        <item x="8"/>
        <item x="9"/>
        <item t="default"/>
      </items>
    </pivotField>
    <pivotField showAll="0"/>
    <pivotField showAll="0"/>
    <pivotField showAll="0"/>
    <pivotField showAll="0"/>
    <pivotField showAll="0"/>
    <pivotField showAll="0">
      <items count="11">
        <item x="3"/>
        <item x="9"/>
        <item x="1"/>
        <item x="7"/>
        <item x="0"/>
        <item x="5"/>
        <item x="2"/>
        <item x="6"/>
        <item x="4"/>
        <item x="8"/>
        <item t="default"/>
      </items>
    </pivotField>
    <pivotField showAll="0"/>
    <pivotField showAll="0"/>
    <pivotField dataField="1" showAll="0">
      <items count="11">
        <item x="3"/>
        <item h="1" x="0"/>
        <item h="1" x="9"/>
        <item h="1" x="1"/>
        <item h="1" x="2"/>
        <item h="1" x="7"/>
        <item h="1" x="6"/>
        <item h="1" x="5"/>
        <item h="1" x="4"/>
        <item h="1" x="8"/>
        <item t="default"/>
      </items>
    </pivotField>
    <pivotField showAll="0"/>
    <pivotField showAll="0">
      <items count="11">
        <item x="0"/>
        <item x="3"/>
        <item x="9"/>
        <item x="1"/>
        <item x="7"/>
        <item x="6"/>
        <item x="2"/>
        <item x="5"/>
        <item x="4"/>
        <item x="8"/>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10" baseField="0" baseItem="0"/>
  </dataFields>
  <chartFormats count="22">
    <chartFormat chart="0" format="0" series="1">
      <pivotArea type="data" outline="0" fieldPosition="0">
        <references count="1">
          <reference field="4294967294" count="1" selected="0">
            <x v="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0"/>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2">
          <reference field="4294967294" count="1" selected="0">
            <x v="0"/>
          </reference>
          <reference field="1" count="1" selected="0">
            <x v="2"/>
          </reference>
        </references>
      </pivotArea>
    </chartFormat>
    <chartFormat chart="5" format="16">
      <pivotArea type="data" outline="0" fieldPosition="0">
        <references count="2">
          <reference field="4294967294" count="1" selected="0">
            <x v="0"/>
          </reference>
          <reference field="1" count="1" selected="0">
            <x v="3"/>
          </reference>
        </references>
      </pivotArea>
    </chartFormat>
    <chartFormat chart="5" format="17">
      <pivotArea type="data" outline="0" fieldPosition="0">
        <references count="2">
          <reference field="4294967294" count="1" selected="0">
            <x v="0"/>
          </reference>
          <reference field="1" count="1" selected="0">
            <x v="4"/>
          </reference>
        </references>
      </pivotArea>
    </chartFormat>
    <chartFormat chart="5" format="18">
      <pivotArea type="data" outline="0" fieldPosition="0">
        <references count="2">
          <reference field="4294967294" count="1" selected="0">
            <x v="0"/>
          </reference>
          <reference field="1" count="1" selected="0">
            <x v="5"/>
          </reference>
        </references>
      </pivotArea>
    </chartFormat>
    <chartFormat chart="5" format="19">
      <pivotArea type="data" outline="0" fieldPosition="0">
        <references count="2">
          <reference field="4294967294" count="1" selected="0">
            <x v="0"/>
          </reference>
          <reference field="1" count="1" selected="0">
            <x v="6"/>
          </reference>
        </references>
      </pivotArea>
    </chartFormat>
    <chartFormat chart="5" format="20">
      <pivotArea type="data" outline="0" fieldPosition="0">
        <references count="2">
          <reference field="4294967294" count="1" selected="0">
            <x v="0"/>
          </reference>
          <reference field="1" count="1" selected="0">
            <x v="7"/>
          </reference>
        </references>
      </pivotArea>
    </chartFormat>
    <chartFormat chart="5" format="21">
      <pivotArea type="data" outline="0" fieldPosition="0">
        <references count="2">
          <reference field="4294967294" count="1" selected="0">
            <x v="0"/>
          </reference>
          <reference field="1" count="1" selected="0">
            <x v="8"/>
          </reference>
        </references>
      </pivotArea>
    </chartFormat>
    <chartFormat chart="5" format="22">
      <pivotArea type="data" outline="0" fieldPosition="0">
        <references count="2">
          <reference field="4294967294" count="1" selected="0">
            <x v="0"/>
          </reference>
          <reference field="1" count="1" selected="0">
            <x v="9"/>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 chart="0" format="8">
      <pivotArea type="data" outline="0" fieldPosition="0">
        <references count="2">
          <reference field="4294967294" count="1" selected="0">
            <x v="0"/>
          </reference>
          <reference field="1" count="1" selected="0">
            <x v="7"/>
          </reference>
        </references>
      </pivotArea>
    </chartFormat>
    <chartFormat chart="0" format="9">
      <pivotArea type="data" outline="0" fieldPosition="0">
        <references count="2">
          <reference field="4294967294" count="1" selected="0">
            <x v="0"/>
          </reference>
          <reference field="1" count="1" selected="0">
            <x v="8"/>
          </reference>
        </references>
      </pivotArea>
    </chartFormat>
    <chartFormat chart="0" format="10">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C29E36-CFC0-4311-AB8A-7BB2FED90131}"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1:K3" firstHeaderRow="1" firstDataRow="1" firstDataCol="1"/>
  <pivotFields count="13">
    <pivotField showAll="0"/>
    <pivotField numFmtId="14" showAll="0">
      <items count="11">
        <item x="0"/>
        <item x="1"/>
        <item x="2"/>
        <item x="3"/>
        <item x="4"/>
        <item x="5"/>
        <item x="6"/>
        <item x="7"/>
        <item x="8"/>
        <item x="9"/>
        <item t="default"/>
      </items>
    </pivotField>
    <pivotField showAll="0"/>
    <pivotField showAll="0"/>
    <pivotField showAll="0"/>
    <pivotField axis="axisRow" showAll="0">
      <items count="3">
        <item h="1" x="0"/>
        <item x="1"/>
        <item t="default"/>
      </items>
    </pivotField>
    <pivotField showAll="0">
      <items count="3">
        <item x="1"/>
        <item x="0"/>
        <item t="default"/>
      </items>
    </pivotField>
    <pivotField showAll="0"/>
    <pivotField showAll="0"/>
    <pivotField showAll="0"/>
    <pivotField dataField="1" showAll="0">
      <items count="11">
        <item x="3"/>
        <item x="0"/>
        <item x="9"/>
        <item x="1"/>
        <item x="2"/>
        <item x="7"/>
        <item x="6"/>
        <item x="5"/>
        <item x="4"/>
        <item x="8"/>
        <item t="default"/>
      </items>
    </pivotField>
    <pivotField showAll="0"/>
    <pivotField showAll="0">
      <items count="11">
        <item x="0"/>
        <item x="3"/>
        <item x="9"/>
        <item x="1"/>
        <item x="7"/>
        <item x="6"/>
        <item x="2"/>
        <item x="5"/>
        <item x="4"/>
        <item x="8"/>
        <item t="default"/>
      </items>
    </pivotField>
  </pivotFields>
  <rowFields count="1">
    <field x="5"/>
  </rowFields>
  <rowItems count="2">
    <i>
      <x v="1"/>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C5D5D0-13B7-4F0E-A311-18FCF08D90BB}"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5" firstHeaderRow="1" firstDataRow="2" firstDataCol="1"/>
  <pivotFields count="13">
    <pivotField showAll="0"/>
    <pivotField numFmtId="14" showAll="0"/>
    <pivotField showAll="0"/>
    <pivotField showAll="0"/>
    <pivotField axis="axisCol" showAll="0">
      <items count="5">
        <item x="3"/>
        <item h="1" x="1"/>
        <item h="1" x="2"/>
        <item h="1" x="0"/>
        <item t="default"/>
      </items>
    </pivotField>
    <pivotField showAll="0"/>
    <pivotField showAll="0"/>
    <pivotField showAll="0"/>
    <pivotField showAll="0"/>
    <pivotField showAll="0"/>
    <pivotField dataField="1" showAll="0"/>
    <pivotField showAll="0"/>
    <pivotField showAll="0"/>
  </pivotFields>
  <rowItems count="1">
    <i/>
  </rowItems>
  <colFields count="1">
    <field x="4"/>
  </colFields>
  <colItems count="2">
    <i>
      <x/>
    </i>
    <i t="grand">
      <x/>
    </i>
  </colItems>
  <dataFields count="1">
    <dataField name="Sum of Sales" fld="10"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13" format="8" series="1">
      <pivotArea type="data" outline="0" fieldPosition="0">
        <references count="2">
          <reference field="4294967294" count="1" selected="0">
            <x v="0"/>
          </reference>
          <reference field="4" count="1" selected="0">
            <x v="0"/>
          </reference>
        </references>
      </pivotArea>
    </chartFormat>
    <chartFormat chart="13" format="9" series="1">
      <pivotArea type="data" outline="0" fieldPosition="0">
        <references count="2">
          <reference field="4294967294" count="1" selected="0">
            <x v="0"/>
          </reference>
          <reference field="4" count="1" selected="0">
            <x v="1"/>
          </reference>
        </references>
      </pivotArea>
    </chartFormat>
    <chartFormat chart="13" format="10" series="1">
      <pivotArea type="data" outline="0" fieldPosition="0">
        <references count="2">
          <reference field="4294967294" count="1" selected="0">
            <x v="0"/>
          </reference>
          <reference field="4" count="1" selected="0">
            <x v="2"/>
          </reference>
        </references>
      </pivotArea>
    </chartFormat>
    <chartFormat chart="13"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7546E006-C5F1-45BC-AF20-D9A1A3982BF3}" sourceName="Order_ID">
  <pivotTables>
    <pivotTable tabId="12" name="PivotTable2"/>
  </pivotTables>
  <data>
    <tabular pivotCacheId="256631262">
      <items count="10">
        <i x="0" s="1"/>
        <i x="1" s="1"/>
        <i x="2" s="1"/>
        <i x="3" s="1"/>
        <i x="4" s="1"/>
        <i x="5" s="1"/>
        <i x="6" s="1"/>
        <i x="7" s="1"/>
        <i x="8"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B038421-9310-463E-A5AD-6E404E0CEFFF}" sourceName="Region">
  <pivotTables>
    <pivotTable tabId="14" name="PivotTable9"/>
  </pivotTables>
  <data>
    <tabular pivotCacheId="503894556">
      <items count="4">
        <i x="3" s="1"/>
        <i x="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E48454-D011-4EB9-8183-E47F93FDFFDD}" sourceName="Product">
  <pivotTables>
    <pivotTable tabId="14" name="PivotTable10"/>
  </pivotTables>
  <data>
    <tabular pivotCacheId="503894556">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649B5BE-5C68-4924-9615-B2F35B06FA9C}" sourceName="Date">
  <pivotTables>
    <pivotTable tabId="14" name="PivotTable11"/>
  </pivotTables>
  <data>
    <tabular pivotCacheId="503894556">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ID" xr10:uid="{933E6A25-13EF-46B8-A4CA-19AB9D2102D8}" cache="Slicer_Order_ID" caption="Order_I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DA77D0B-DAD2-40FD-8AD6-2F104462DD38}" cache="Slicer_Region" caption="Region" columnCount="4" style="SlicerStyleLight4" rowHeight="247650"/>
  <slicer name="Product" xr10:uid="{C4A4FA2E-0741-41F6-8BF4-174EA2DB5533}" cache="Slicer_Product" caption="Product" columnCount="2" rowHeight="247650"/>
  <slicer name="Date" xr10:uid="{DA2BFEC2-CBFA-46CE-A5A6-E5A2183AC38B}" cache="Slicer_Date" caption="Date" columnCoun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BB5F0-1FE7-4A8C-BAA2-E1EDE7C659F9}" name="Table1" displayName="Table1" ref="A1:M11" totalsRowShown="0" headerRowDxfId="83" dataDxfId="81" headerRowBorderDxfId="82" tableBorderDxfId="80" totalsRowBorderDxfId="79">
  <autoFilter ref="A1:M11" xr:uid="{FB5BB5F0-1FE7-4A8C-BAA2-E1EDE7C659F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5E44977-B9EC-4D1A-B80C-732FFBD85B8C}" name="Order_ID" dataDxfId="78"/>
    <tableColumn id="2" xr3:uid="{A9C3204A-A03B-4882-8E25-8BCCE5DB61FB}" name="Date" dataDxfId="77"/>
    <tableColumn id="3" xr3:uid="{93F0A3B8-9CBC-41EC-B65F-5AC6DDC76D42}" name="Customer_ID" dataDxfId="76"/>
    <tableColumn id="4" xr3:uid="{9FBD7757-A65B-4D29-8F6B-8BA41745690B}" name="Customer_Name" dataDxfId="75"/>
    <tableColumn id="5" xr3:uid="{624144BF-1EBE-4F41-970F-2051D33675D8}" name="Region" dataDxfId="74"/>
    <tableColumn id="6" xr3:uid="{D4918BD2-414B-441A-B0D4-434F755EF724}" name="Product" dataDxfId="73"/>
    <tableColumn id="7" xr3:uid="{65A7683E-0AF8-4D8D-8211-F20420C2368A}" name="Category" dataDxfId="72"/>
    <tableColumn id="8" xr3:uid="{648AEA51-C0CB-4851-A1BD-D94048241B41}" name="Quantity" dataDxfId="71"/>
    <tableColumn id="9" xr3:uid="{EB30FA5C-B04D-4877-AF56-D8B4299E63E2}" name="Unit_Price" dataDxfId="70"/>
    <tableColumn id="10" xr3:uid="{756F66CD-EBBA-40C8-9E27-C7EB54A8B9F9}" name="Discount %" dataDxfId="69"/>
    <tableColumn id="11" xr3:uid="{9341D7AB-D9F7-4BDF-A619-88E591DF5C0B}" name="Sales" dataDxfId="68"/>
    <tableColumn id="12" xr3:uid="{8FF4E952-217C-4ED3-B88E-C2B07F00753C}" name="Cost" dataDxfId="67"/>
    <tableColumn id="13" xr3:uid="{7E815532-8C27-440B-B7AA-F58E9E03200B}" name="Profit" dataDxfId="66"/>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A2915E-2E10-4829-9077-5E23C80C38B5}" name="Table13" displayName="Table13" ref="A1:M11" totalsRowShown="0" headerRowDxfId="62" dataDxfId="60" headerRowBorderDxfId="61" tableBorderDxfId="59" totalsRowBorderDxfId="58">
  <autoFilter ref="A1:M11" xr:uid="{2BA2915E-2E10-4829-9077-5E23C80C38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2896F30E-CA88-4CD4-8C33-083B6026092E}" name="Order_ID" dataDxfId="57"/>
    <tableColumn id="2" xr3:uid="{D0FD3906-6D1D-40BB-BD14-B93B8885BE3F}" name="Date" dataDxfId="56"/>
    <tableColumn id="3" xr3:uid="{76F49A0E-6BE0-48BC-8871-9D5084A2E003}" name="Customer_ID" dataDxfId="55"/>
    <tableColumn id="4" xr3:uid="{5C4B8BF0-46F5-4B73-B034-8922B63B53C0}" name="Customer_Name" dataDxfId="54"/>
    <tableColumn id="5" xr3:uid="{6076087D-EBF3-4629-BFC0-FF84D853B8CC}" name="Region" dataDxfId="53"/>
    <tableColumn id="6" xr3:uid="{32F8515B-84E3-4077-BC6E-C0C1AC32BABB}" name="Product" dataDxfId="52"/>
    <tableColumn id="7" xr3:uid="{58DBFC8C-AEA4-4285-A393-05AB91D55B3B}" name="Category" dataDxfId="51"/>
    <tableColumn id="8" xr3:uid="{086A170B-33C0-460B-9958-9020C004502A}" name="Quantity" dataDxfId="50"/>
    <tableColumn id="9" xr3:uid="{98AD4C47-1B6B-4A0D-A00C-B8A314ED7BA2}" name="Unit_Price" dataDxfId="49"/>
    <tableColumn id="10" xr3:uid="{6695C2DB-9DA2-421E-B320-A7BD3FA8FA79}" name="Discount %" dataDxfId="48"/>
    <tableColumn id="11" xr3:uid="{49E4C593-E31D-47B0-B4E9-9F681751C181}" name="Sales" dataDxfId="47"/>
    <tableColumn id="12" xr3:uid="{CC845257-9BDF-4F67-AC2E-3B8D5BD9AA82}" name="Cost" dataDxfId="46"/>
    <tableColumn id="13" xr3:uid="{1BC99C1E-683D-4D4B-9F2A-4513E83E6907}" name="Profit" dataDxfId="45"/>
  </tableColumns>
  <tableStyleInfo name="TableStyleLight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D2366F-BBE2-4711-A182-26794331D721}" name="Table134" displayName="Table134" ref="A1:M11" totalsRowShown="0" headerRowDxfId="44" dataDxfId="42" headerRowBorderDxfId="43" tableBorderDxfId="41" totalsRowBorderDxfId="40">
  <autoFilter ref="A1:M11" xr:uid="{EFD2366F-BBE2-4711-A182-26794331D721}"/>
  <tableColumns count="13">
    <tableColumn id="1" xr3:uid="{F41F2CF3-5588-4D29-9220-F594AF21FAB3}" name="Order_ID" dataDxfId="39"/>
    <tableColumn id="2" xr3:uid="{DF7CD561-0CEB-41C5-B318-B71B3878F281}" name="Date" dataDxfId="38"/>
    <tableColumn id="3" xr3:uid="{77A1A9A8-134B-486B-B0C9-905146A2C0C1}" name="Customer_ID" dataDxfId="37"/>
    <tableColumn id="4" xr3:uid="{53EFC1DC-0217-422E-948A-B68F37F4B7DA}" name="Customer_Name" dataDxfId="36"/>
    <tableColumn id="5" xr3:uid="{0946757E-1831-46EF-B547-9858E5475CA5}" name="Region" dataDxfId="35"/>
    <tableColumn id="6" xr3:uid="{02DAB691-941D-48FC-9259-B368FCEDA381}" name="Product" dataDxfId="34"/>
    <tableColumn id="7" xr3:uid="{398211C9-E251-467E-BDAB-408DA66690D9}" name="Category" dataDxfId="33"/>
    <tableColumn id="8" xr3:uid="{E6AE9BE9-61F5-426A-A672-A4A98228A831}" name="Quantity" dataDxfId="32"/>
    <tableColumn id="9" xr3:uid="{E88B1319-44D5-46B3-8B55-15E94813AA54}" name="Unit_Price" dataDxfId="31"/>
    <tableColumn id="10" xr3:uid="{8EBB50B7-8DE5-4D9C-8560-5A04836DB8E6}" name="Discount %" dataDxfId="30"/>
    <tableColumn id="11" xr3:uid="{5CC7BA15-3148-440D-8B8A-1ABC0E418A1F}" name="Sales" dataDxfId="29"/>
    <tableColumn id="12" xr3:uid="{1BC33FDA-5801-40AC-A3BD-B5E4F8FD5C2D}" name="Cost" dataDxfId="28"/>
    <tableColumn id="13" xr3:uid="{57E097CA-5E74-45E6-8C41-A964488C01FB}" name="Profit" dataDxfId="27"/>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EB4986-1233-461A-8223-231BDBD53869}" name="Table4" displayName="Table4" ref="A1:C7" totalsRowShown="0" headerRowDxfId="26" dataDxfId="24" headerRowBorderDxfId="25" tableBorderDxfId="23" totalsRowBorderDxfId="22">
  <autoFilter ref="A1:C7" xr:uid="{C6EB4986-1233-461A-8223-231BDBD53869}">
    <filterColumn colId="0" hiddenButton="1"/>
    <filterColumn colId="1" hiddenButton="1"/>
    <filterColumn colId="2" hiddenButton="1"/>
  </autoFilter>
  <tableColumns count="3">
    <tableColumn id="1" xr3:uid="{AB3AFD92-7084-464D-A807-102F2C55D17C}" name="Month" dataDxfId="21"/>
    <tableColumn id="2" xr3:uid="{934AA672-CCFD-4033-B659-D538354A90FA}" name="Sales" dataDxfId="20"/>
    <tableColumn id="3" xr3:uid="{18E4715C-A4B4-4257-821A-EE55F580C63B}" name="Growth" dataDxfId="19">
      <calculatedColumnFormula>Table4[[#This Row],[Sales]]-B1/B1</calculatedColumnFormula>
    </tableColumn>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88A92A3-586B-4B37-BCBE-41A7112C9D6E}" name="Table16" displayName="Table16" ref="A1:M11" totalsRowShown="0" headerRowDxfId="18" dataDxfId="16" headerRowBorderDxfId="17" tableBorderDxfId="15" totalsRowBorderDxfId="14">
  <autoFilter ref="A1:M11" xr:uid="{788A92A3-586B-4B37-BCBE-41A7112C9D6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1CCDC69-D250-46C8-A059-F337F0AFA825}" name="Order_ID" dataDxfId="13"/>
    <tableColumn id="2" xr3:uid="{260314B2-54D3-4B7A-B1CE-DD97D0162DF8}" name="Date" dataDxfId="12"/>
    <tableColumn id="3" xr3:uid="{B69DE315-43F7-42C0-BA06-1C98241D0573}" name="Customer_ID" dataDxfId="11"/>
    <tableColumn id="4" xr3:uid="{1B1EEFA7-AF48-4225-973A-51391470732B}" name="Customer_Name" dataDxfId="10"/>
    <tableColumn id="5" xr3:uid="{6C1C54DC-5B2F-413F-B965-DE438DDD0B19}" name="Region" dataDxfId="9"/>
    <tableColumn id="6" xr3:uid="{CAF1C629-14D2-4716-9790-77CF27179F63}" name="Product" dataDxfId="8"/>
    <tableColumn id="7" xr3:uid="{466905DA-5AAA-4077-9A49-3FC12BF9A78E}" name="Category" dataDxfId="7"/>
    <tableColumn id="8" xr3:uid="{7EDE2119-DF68-4273-B6AD-BD66E539E05C}" name="Quantity" dataDxfId="6"/>
    <tableColumn id="9" xr3:uid="{76245FEE-4486-4FDD-81C8-FAC0F725E868}" name="Unit_Price" dataDxfId="5"/>
    <tableColumn id="10" xr3:uid="{C38C23BA-E13D-4A12-AFA3-AB0357955FBC}" name="Discount %" dataDxfId="4"/>
    <tableColumn id="11" xr3:uid="{AA92A6E8-0109-4B89-B2CA-0E7CCCA9D946}" name="Sales" dataDxfId="3"/>
    <tableColumn id="12" xr3:uid="{7E03E74E-513D-4E73-BAA4-020558BF17E0}" name="Cost" dataDxfId="2"/>
    <tableColumn id="13" xr3:uid="{9F2A63C6-9190-408B-8160-B80B79D70553}" name="Profit" dataDxfId="1"/>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010DA-D107-4583-BDC2-0D6B1E67F8FF}">
  <dimension ref="A1:M11"/>
  <sheetViews>
    <sheetView zoomScale="85" zoomScaleNormal="85" workbookViewId="0">
      <selection sqref="A1:M11"/>
    </sheetView>
  </sheetViews>
  <sheetFormatPr defaultRowHeight="14.4" x14ac:dyDescent="0.3"/>
  <cols>
    <col min="1" max="1" width="10.21875" customWidth="1"/>
    <col min="2" max="2" width="10.44140625" bestFit="1" customWidth="1"/>
    <col min="3" max="3" width="13.6640625" customWidth="1"/>
    <col min="4" max="4" width="16.77734375" customWidth="1"/>
    <col min="6" max="6" width="9.109375" customWidth="1"/>
    <col min="7" max="7" width="10" customWidth="1"/>
    <col min="8" max="8" width="9.6640625" customWidth="1"/>
    <col min="9" max="9" width="11.109375" customWidth="1"/>
    <col min="10" max="10" width="12" customWidth="1"/>
  </cols>
  <sheetData>
    <row r="1" spans="1:13" ht="28.8" x14ac:dyDescent="0.3">
      <c r="A1" s="5" t="s">
        <v>0</v>
      </c>
      <c r="B1" s="6" t="s">
        <v>1</v>
      </c>
      <c r="C1" s="6" t="s">
        <v>2</v>
      </c>
      <c r="D1" s="6" t="s">
        <v>3</v>
      </c>
      <c r="E1" s="6" t="s">
        <v>4</v>
      </c>
      <c r="F1" s="6" t="s">
        <v>5</v>
      </c>
      <c r="G1" s="6" t="s">
        <v>6</v>
      </c>
      <c r="H1" s="6" t="s">
        <v>7</v>
      </c>
      <c r="I1" s="6" t="s">
        <v>8</v>
      </c>
      <c r="J1" s="6" t="s">
        <v>9</v>
      </c>
      <c r="K1" s="6" t="s">
        <v>10</v>
      </c>
      <c r="L1" s="6" t="s">
        <v>11</v>
      </c>
      <c r="M1" s="7" t="s">
        <v>12</v>
      </c>
    </row>
    <row r="2" spans="1:13" ht="28.8" x14ac:dyDescent="0.3">
      <c r="A2" s="3" t="s">
        <v>13</v>
      </c>
      <c r="B2" s="2">
        <v>45292</v>
      </c>
      <c r="C2" s="1" t="s">
        <v>14</v>
      </c>
      <c r="D2" s="1" t="s">
        <v>15</v>
      </c>
      <c r="E2" s="1" t="s">
        <v>16</v>
      </c>
      <c r="F2" s="1" t="s">
        <v>17</v>
      </c>
      <c r="G2" s="1" t="s">
        <v>18</v>
      </c>
      <c r="H2" s="1">
        <v>50</v>
      </c>
      <c r="I2" s="1">
        <v>12</v>
      </c>
      <c r="J2" s="1">
        <v>5</v>
      </c>
      <c r="K2" s="1">
        <v>570</v>
      </c>
      <c r="L2" s="1">
        <v>450</v>
      </c>
      <c r="M2" s="4">
        <v>120</v>
      </c>
    </row>
    <row r="3" spans="1:13" ht="28.8" x14ac:dyDescent="0.3">
      <c r="A3" s="3" t="s">
        <v>19</v>
      </c>
      <c r="B3" s="2">
        <v>45294</v>
      </c>
      <c r="C3" s="1" t="s">
        <v>20</v>
      </c>
      <c r="D3" s="1" t="s">
        <v>21</v>
      </c>
      <c r="E3" s="1" t="s">
        <v>22</v>
      </c>
      <c r="F3" s="1" t="s">
        <v>23</v>
      </c>
      <c r="G3" s="1" t="s">
        <v>24</v>
      </c>
      <c r="H3" s="1">
        <v>40</v>
      </c>
      <c r="I3" s="1">
        <v>18</v>
      </c>
      <c r="J3" s="1">
        <v>10</v>
      </c>
      <c r="K3" s="1">
        <v>648</v>
      </c>
      <c r="L3" s="1">
        <v>500</v>
      </c>
      <c r="M3" s="4">
        <v>148</v>
      </c>
    </row>
    <row r="4" spans="1:13" ht="28.8" x14ac:dyDescent="0.3">
      <c r="A4" s="3" t="s">
        <v>25</v>
      </c>
      <c r="B4" s="2">
        <v>45296</v>
      </c>
      <c r="C4" s="1" t="s">
        <v>26</v>
      </c>
      <c r="D4" s="1" t="s">
        <v>27</v>
      </c>
      <c r="E4" s="1" t="s">
        <v>28</v>
      </c>
      <c r="F4" s="1" t="s">
        <v>17</v>
      </c>
      <c r="G4" s="1" t="s">
        <v>18</v>
      </c>
      <c r="H4" s="1">
        <v>60</v>
      </c>
      <c r="I4" s="1">
        <v>12</v>
      </c>
      <c r="J4" s="1">
        <v>0</v>
      </c>
      <c r="K4" s="1">
        <v>720</v>
      </c>
      <c r="L4" s="1">
        <v>540</v>
      </c>
      <c r="M4" s="4">
        <v>180</v>
      </c>
    </row>
    <row r="5" spans="1:13" ht="28.8" x14ac:dyDescent="0.3">
      <c r="A5" s="3" t="s">
        <v>29</v>
      </c>
      <c r="B5" s="2">
        <v>45297</v>
      </c>
      <c r="C5" s="1" t="s">
        <v>30</v>
      </c>
      <c r="D5" s="1" t="s">
        <v>31</v>
      </c>
      <c r="E5" s="1" t="s">
        <v>32</v>
      </c>
      <c r="F5" s="1" t="s">
        <v>23</v>
      </c>
      <c r="G5" s="1" t="s">
        <v>24</v>
      </c>
      <c r="H5" s="1">
        <v>30</v>
      </c>
      <c r="I5" s="1">
        <v>18</v>
      </c>
      <c r="J5" s="1">
        <v>5</v>
      </c>
      <c r="K5" s="1">
        <v>513</v>
      </c>
      <c r="L5" s="1">
        <v>380</v>
      </c>
      <c r="M5" s="4">
        <v>133</v>
      </c>
    </row>
    <row r="6" spans="1:13" ht="28.8" x14ac:dyDescent="0.3">
      <c r="A6" s="3" t="s">
        <v>33</v>
      </c>
      <c r="B6" s="2">
        <v>45299</v>
      </c>
      <c r="C6" s="1" t="s">
        <v>34</v>
      </c>
      <c r="D6" s="1" t="s">
        <v>35</v>
      </c>
      <c r="E6" s="1" t="s">
        <v>16</v>
      </c>
      <c r="F6" s="1" t="s">
        <v>17</v>
      </c>
      <c r="G6" s="1" t="s">
        <v>18</v>
      </c>
      <c r="H6" s="1">
        <v>80</v>
      </c>
      <c r="I6" s="1">
        <v>12</v>
      </c>
      <c r="J6" s="1">
        <v>8</v>
      </c>
      <c r="K6" s="1">
        <v>883</v>
      </c>
      <c r="L6" s="1">
        <v>700</v>
      </c>
      <c r="M6" s="4">
        <v>183</v>
      </c>
    </row>
    <row r="7" spans="1:13" ht="28.8" x14ac:dyDescent="0.3">
      <c r="A7" s="3" t="s">
        <v>36</v>
      </c>
      <c r="B7" s="2">
        <v>45301</v>
      </c>
      <c r="C7" s="1" t="s">
        <v>37</v>
      </c>
      <c r="D7" s="1" t="s">
        <v>38</v>
      </c>
      <c r="E7" s="1" t="s">
        <v>22</v>
      </c>
      <c r="F7" s="1" t="s">
        <v>23</v>
      </c>
      <c r="G7" s="1" t="s">
        <v>24</v>
      </c>
      <c r="H7" s="1">
        <v>55</v>
      </c>
      <c r="I7" s="1">
        <v>18</v>
      </c>
      <c r="J7" s="1">
        <v>12</v>
      </c>
      <c r="K7" s="1">
        <v>871</v>
      </c>
      <c r="L7" s="1">
        <v>690</v>
      </c>
      <c r="M7" s="4">
        <v>181</v>
      </c>
    </row>
    <row r="8" spans="1:13" ht="28.8" x14ac:dyDescent="0.3">
      <c r="A8" s="3" t="s">
        <v>39</v>
      </c>
      <c r="B8" s="2">
        <v>45303</v>
      </c>
      <c r="C8" s="1" t="s">
        <v>40</v>
      </c>
      <c r="D8" s="1" t="s">
        <v>41</v>
      </c>
      <c r="E8" s="1" t="s">
        <v>28</v>
      </c>
      <c r="F8" s="1" t="s">
        <v>17</v>
      </c>
      <c r="G8" s="1" t="s">
        <v>18</v>
      </c>
      <c r="H8" s="1">
        <v>70</v>
      </c>
      <c r="I8" s="1">
        <v>12</v>
      </c>
      <c r="J8" s="1">
        <v>6</v>
      </c>
      <c r="K8" s="1">
        <v>789</v>
      </c>
      <c r="L8" s="1">
        <v>620</v>
      </c>
      <c r="M8" s="4">
        <v>169</v>
      </c>
    </row>
    <row r="9" spans="1:13" ht="28.8" x14ac:dyDescent="0.3">
      <c r="A9" s="3" t="s">
        <v>42</v>
      </c>
      <c r="B9" s="2">
        <v>45305</v>
      </c>
      <c r="C9" s="1" t="s">
        <v>43</v>
      </c>
      <c r="D9" s="1" t="s">
        <v>44</v>
      </c>
      <c r="E9" s="1" t="s">
        <v>32</v>
      </c>
      <c r="F9" s="1" t="s">
        <v>23</v>
      </c>
      <c r="G9" s="1" t="s">
        <v>24</v>
      </c>
      <c r="H9" s="1">
        <v>45</v>
      </c>
      <c r="I9" s="1">
        <v>18</v>
      </c>
      <c r="J9" s="1">
        <v>7</v>
      </c>
      <c r="K9" s="1">
        <v>753</v>
      </c>
      <c r="L9" s="1">
        <v>600</v>
      </c>
      <c r="M9" s="4">
        <v>153</v>
      </c>
    </row>
    <row r="10" spans="1:13" ht="28.8" x14ac:dyDescent="0.3">
      <c r="A10" s="3" t="s">
        <v>45</v>
      </c>
      <c r="B10" s="2">
        <v>45307</v>
      </c>
      <c r="C10" s="1" t="s">
        <v>46</v>
      </c>
      <c r="D10" s="1" t="s">
        <v>47</v>
      </c>
      <c r="E10" s="1" t="s">
        <v>16</v>
      </c>
      <c r="F10" s="1" t="s">
        <v>17</v>
      </c>
      <c r="G10" s="1" t="s">
        <v>18</v>
      </c>
      <c r="H10" s="1">
        <v>90</v>
      </c>
      <c r="I10" s="1">
        <v>12</v>
      </c>
      <c r="J10" s="1">
        <v>10</v>
      </c>
      <c r="K10" s="1">
        <v>972</v>
      </c>
      <c r="L10" s="1">
        <v>780</v>
      </c>
      <c r="M10" s="4">
        <v>192</v>
      </c>
    </row>
    <row r="11" spans="1:13" ht="28.8" x14ac:dyDescent="0.3">
      <c r="A11" s="8" t="s">
        <v>48</v>
      </c>
      <c r="B11" s="9">
        <v>45309</v>
      </c>
      <c r="C11" s="10" t="s">
        <v>49</v>
      </c>
      <c r="D11" s="10" t="s">
        <v>50</v>
      </c>
      <c r="E11" s="10" t="s">
        <v>22</v>
      </c>
      <c r="F11" s="10" t="s">
        <v>23</v>
      </c>
      <c r="G11" s="10" t="s">
        <v>24</v>
      </c>
      <c r="H11" s="10">
        <v>35</v>
      </c>
      <c r="I11" s="10">
        <v>18</v>
      </c>
      <c r="J11" s="10">
        <v>4</v>
      </c>
      <c r="K11" s="10">
        <v>604</v>
      </c>
      <c r="L11" s="10">
        <v>470</v>
      </c>
      <c r="M11" s="11">
        <v>134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6F54D-C917-4EBE-A31C-7B37803C41EC}">
  <dimension ref="A3:D15"/>
  <sheetViews>
    <sheetView workbookViewId="0">
      <selection activeCell="D12" sqref="D12"/>
    </sheetView>
  </sheetViews>
  <sheetFormatPr defaultRowHeight="14.4" x14ac:dyDescent="0.3"/>
  <cols>
    <col min="1" max="1" width="12.6640625" bestFit="1" customWidth="1"/>
    <col min="2" max="2" width="15.5546875" bestFit="1" customWidth="1"/>
    <col min="3" max="3" width="12.77734375" bestFit="1" customWidth="1"/>
    <col min="4" max="4" width="10.5546875" bestFit="1" customWidth="1"/>
    <col min="5" max="6" width="3" bestFit="1" customWidth="1"/>
    <col min="7" max="7" width="12.6640625" bestFit="1" customWidth="1"/>
    <col min="8" max="8" width="14.44140625" bestFit="1" customWidth="1"/>
    <col min="9" max="12" width="3" bestFit="1" customWidth="1"/>
    <col min="13" max="13" width="17.44140625" bestFit="1" customWidth="1"/>
    <col min="14" max="14" width="10.5546875" bestFit="1" customWidth="1"/>
  </cols>
  <sheetData>
    <row r="3" spans="1:4" x14ac:dyDescent="0.3">
      <c r="A3" s="14" t="s">
        <v>54</v>
      </c>
      <c r="B3" s="14" t="s">
        <v>53</v>
      </c>
      <c r="C3" s="15"/>
      <c r="D3" s="15"/>
    </row>
    <row r="4" spans="1:4" x14ac:dyDescent="0.3">
      <c r="A4" s="14" t="s">
        <v>51</v>
      </c>
      <c r="B4" s="15" t="s">
        <v>17</v>
      </c>
      <c r="C4" s="15" t="s">
        <v>23</v>
      </c>
      <c r="D4" s="15" t="s">
        <v>52</v>
      </c>
    </row>
    <row r="5" spans="1:4" x14ac:dyDescent="0.3">
      <c r="A5" s="15" t="s">
        <v>27</v>
      </c>
      <c r="B5" s="15">
        <v>720</v>
      </c>
      <c r="C5" s="15"/>
      <c r="D5" s="15">
        <v>720</v>
      </c>
    </row>
    <row r="6" spans="1:4" x14ac:dyDescent="0.3">
      <c r="A6" s="15" t="s">
        <v>35</v>
      </c>
      <c r="B6" s="15">
        <v>883</v>
      </c>
      <c r="C6" s="15"/>
      <c r="D6" s="15">
        <v>883</v>
      </c>
    </row>
    <row r="7" spans="1:4" x14ac:dyDescent="0.3">
      <c r="A7" s="15" t="s">
        <v>47</v>
      </c>
      <c r="B7" s="15">
        <v>972</v>
      </c>
      <c r="C7" s="15"/>
      <c r="D7" s="15">
        <v>972</v>
      </c>
    </row>
    <row r="8" spans="1:4" x14ac:dyDescent="0.3">
      <c r="A8" s="15" t="s">
        <v>38</v>
      </c>
      <c r="B8" s="15"/>
      <c r="C8" s="15">
        <v>871</v>
      </c>
      <c r="D8" s="15">
        <v>871</v>
      </c>
    </row>
    <row r="9" spans="1:4" x14ac:dyDescent="0.3">
      <c r="A9" s="15" t="s">
        <v>31</v>
      </c>
      <c r="B9" s="15"/>
      <c r="C9" s="15">
        <v>513</v>
      </c>
      <c r="D9" s="15">
        <v>513</v>
      </c>
    </row>
    <row r="10" spans="1:4" x14ac:dyDescent="0.3">
      <c r="A10" s="15" t="s">
        <v>50</v>
      </c>
      <c r="B10" s="15"/>
      <c r="C10" s="15">
        <v>604</v>
      </c>
      <c r="D10" s="15">
        <v>604</v>
      </c>
    </row>
    <row r="11" spans="1:4" x14ac:dyDescent="0.3">
      <c r="A11" s="15" t="s">
        <v>21</v>
      </c>
      <c r="B11" s="15"/>
      <c r="C11" s="15">
        <v>648</v>
      </c>
      <c r="D11" s="15">
        <v>648</v>
      </c>
    </row>
    <row r="12" spans="1:4" x14ac:dyDescent="0.3">
      <c r="A12" s="15" t="s">
        <v>15</v>
      </c>
      <c r="B12" s="15">
        <v>570</v>
      </c>
      <c r="C12" s="15"/>
      <c r="D12" s="15">
        <v>570</v>
      </c>
    </row>
    <row r="13" spans="1:4" x14ac:dyDescent="0.3">
      <c r="A13" s="15" t="s">
        <v>44</v>
      </c>
      <c r="B13" s="15"/>
      <c r="C13" s="15">
        <v>753</v>
      </c>
      <c r="D13" s="15">
        <v>753</v>
      </c>
    </row>
    <row r="14" spans="1:4" x14ac:dyDescent="0.3">
      <c r="A14" s="15" t="s">
        <v>41</v>
      </c>
      <c r="B14" s="15">
        <v>789</v>
      </c>
      <c r="C14" s="15"/>
      <c r="D14" s="15">
        <v>789</v>
      </c>
    </row>
    <row r="15" spans="1:4" x14ac:dyDescent="0.3">
      <c r="A15" s="15" t="s">
        <v>52</v>
      </c>
      <c r="B15" s="15">
        <v>3934</v>
      </c>
      <c r="C15" s="15">
        <v>3389</v>
      </c>
      <c r="D15" s="15">
        <v>7323</v>
      </c>
    </row>
  </sheetData>
  <conditionalFormatting sqref="A3:D15">
    <cfRule type="top10" dxfId="0" priority="1" rank="1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D9D2-A616-4C73-BF06-69DC1323C77E}">
  <dimension ref="A1:K12"/>
  <sheetViews>
    <sheetView workbookViewId="0">
      <selection activeCell="O5" sqref="O5"/>
    </sheetView>
  </sheetViews>
  <sheetFormatPr defaultRowHeight="14.4" x14ac:dyDescent="0.3"/>
  <cols>
    <col min="2" max="2" width="10.77734375" customWidth="1"/>
  </cols>
  <sheetData>
    <row r="1" spans="1:11" ht="28.8" x14ac:dyDescent="0.3">
      <c r="A1" s="16" t="s">
        <v>7</v>
      </c>
      <c r="B1" s="16" t="s">
        <v>8</v>
      </c>
      <c r="C1" s="16" t="s">
        <v>9</v>
      </c>
      <c r="D1" s="16" t="s">
        <v>10</v>
      </c>
    </row>
    <row r="2" spans="1:11" ht="28.8" x14ac:dyDescent="0.3">
      <c r="A2" s="17">
        <v>50</v>
      </c>
      <c r="B2" s="17">
        <v>12</v>
      </c>
      <c r="C2" s="17">
        <v>0.5</v>
      </c>
      <c r="D2" s="17">
        <f>A2*B2*(1-C2)</f>
        <v>300</v>
      </c>
      <c r="G2" t="s">
        <v>55</v>
      </c>
      <c r="H2" s="17">
        <v>0.5</v>
      </c>
      <c r="J2" s="16" t="s">
        <v>9</v>
      </c>
      <c r="K2" s="16" t="s">
        <v>10</v>
      </c>
    </row>
    <row r="3" spans="1:11" x14ac:dyDescent="0.3">
      <c r="A3" s="1">
        <v>40</v>
      </c>
      <c r="B3" s="1">
        <v>18</v>
      </c>
      <c r="C3" s="1">
        <f>C2+0.2</f>
        <v>0.7</v>
      </c>
      <c r="D3" s="1">
        <v>648</v>
      </c>
      <c r="G3" t="s">
        <v>56</v>
      </c>
      <c r="H3" s="17">
        <f>D2</f>
        <v>300</v>
      </c>
      <c r="J3" s="17">
        <v>0.5</v>
      </c>
      <c r="K3" s="17">
        <f>D2</f>
        <v>300</v>
      </c>
    </row>
    <row r="4" spans="1:11" x14ac:dyDescent="0.3">
      <c r="A4" s="17">
        <v>60</v>
      </c>
      <c r="B4" s="17">
        <v>12</v>
      </c>
      <c r="C4" s="1">
        <f t="shared" ref="C4" si="0">C3+0.2</f>
        <v>0.89999999999999991</v>
      </c>
      <c r="D4" s="17">
        <v>720</v>
      </c>
      <c r="J4" s="1">
        <f>J3+0.2</f>
        <v>0.7</v>
      </c>
      <c r="K4" s="1">
        <f t="dataTable" ref="K4:K12" dt2D="0" dtr="0" r1="C2"/>
        <v>180.00000000000003</v>
      </c>
    </row>
    <row r="5" spans="1:11" x14ac:dyDescent="0.3">
      <c r="A5" s="1">
        <v>30</v>
      </c>
      <c r="B5" s="1">
        <v>18</v>
      </c>
      <c r="C5" s="1">
        <f>C4+0.05</f>
        <v>0.95</v>
      </c>
      <c r="D5" s="1">
        <v>513</v>
      </c>
      <c r="J5" s="1">
        <f t="shared" ref="J5" si="1">J4+0.2</f>
        <v>0.89999999999999991</v>
      </c>
      <c r="K5" s="17">
        <v>60.000000000000057</v>
      </c>
    </row>
    <row r="6" spans="1:11" x14ac:dyDescent="0.3">
      <c r="A6" s="17">
        <v>80</v>
      </c>
      <c r="B6" s="17">
        <v>12</v>
      </c>
      <c r="C6" s="1">
        <f t="shared" ref="C6:C11" si="2">C5+0.05</f>
        <v>1</v>
      </c>
      <c r="D6" s="17">
        <v>883</v>
      </c>
      <c r="J6" s="1">
        <f>J5+0.05</f>
        <v>0.95</v>
      </c>
      <c r="K6" s="1">
        <v>30.000000000000028</v>
      </c>
    </row>
    <row r="7" spans="1:11" x14ac:dyDescent="0.3">
      <c r="A7" s="1">
        <v>55</v>
      </c>
      <c r="B7" s="1">
        <v>18</v>
      </c>
      <c r="C7" s="1">
        <f t="shared" si="2"/>
        <v>1.05</v>
      </c>
      <c r="D7" s="1">
        <v>871</v>
      </c>
      <c r="J7" s="1">
        <f t="shared" ref="J7:J12" si="3">J6+0.05</f>
        <v>1</v>
      </c>
      <c r="K7" s="17">
        <v>0</v>
      </c>
    </row>
    <row r="8" spans="1:11" x14ac:dyDescent="0.3">
      <c r="A8" s="17">
        <v>70</v>
      </c>
      <c r="B8" s="17">
        <v>12</v>
      </c>
      <c r="C8" s="1">
        <f t="shared" si="2"/>
        <v>1.1000000000000001</v>
      </c>
      <c r="D8" s="17">
        <v>789</v>
      </c>
      <c r="J8" s="1">
        <f t="shared" si="3"/>
        <v>1.05</v>
      </c>
      <c r="K8" s="1">
        <v>-30.000000000000028</v>
      </c>
    </row>
    <row r="9" spans="1:11" x14ac:dyDescent="0.3">
      <c r="A9" s="1">
        <v>45</v>
      </c>
      <c r="B9" s="1">
        <v>18</v>
      </c>
      <c r="C9" s="1">
        <f t="shared" si="2"/>
        <v>1.1500000000000001</v>
      </c>
      <c r="D9" s="1">
        <v>753</v>
      </c>
      <c r="J9" s="1">
        <f t="shared" si="3"/>
        <v>1.1000000000000001</v>
      </c>
      <c r="K9" s="17">
        <v>-60.000000000000057</v>
      </c>
    </row>
    <row r="10" spans="1:11" x14ac:dyDescent="0.3">
      <c r="A10" s="17">
        <v>90</v>
      </c>
      <c r="B10" s="17">
        <v>12</v>
      </c>
      <c r="C10" s="1">
        <f t="shared" si="2"/>
        <v>1.2000000000000002</v>
      </c>
      <c r="D10" s="17">
        <v>972</v>
      </c>
      <c r="J10" s="1">
        <f t="shared" si="3"/>
        <v>1.1500000000000001</v>
      </c>
      <c r="K10" s="1">
        <v>-90.000000000000085</v>
      </c>
    </row>
    <row r="11" spans="1:11" x14ac:dyDescent="0.3">
      <c r="A11" s="1">
        <v>35</v>
      </c>
      <c r="B11" s="1">
        <v>18</v>
      </c>
      <c r="C11" s="1">
        <f t="shared" si="2"/>
        <v>1.2500000000000002</v>
      </c>
      <c r="D11" s="1">
        <v>604</v>
      </c>
      <c r="J11" s="1">
        <f t="shared" si="3"/>
        <v>1.2000000000000002</v>
      </c>
      <c r="K11" s="17">
        <v>-120.00000000000011</v>
      </c>
    </row>
    <row r="12" spans="1:11" x14ac:dyDescent="0.3">
      <c r="J12" s="1">
        <f t="shared" si="3"/>
        <v>1.2500000000000002</v>
      </c>
      <c r="K12" s="1">
        <v>-150.00000000000014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8F30C-E5E6-4E7F-9623-BA188E589A75}">
  <dimension ref="A1:W18"/>
  <sheetViews>
    <sheetView workbookViewId="0">
      <selection sqref="A1:M11"/>
    </sheetView>
  </sheetViews>
  <sheetFormatPr defaultRowHeight="14.4" x14ac:dyDescent="0.3"/>
  <cols>
    <col min="2" max="2" width="10.33203125" bestFit="1" customWidth="1"/>
    <col min="15" max="15" width="16.44140625" bestFit="1" customWidth="1"/>
    <col min="16" max="16" width="12" bestFit="1" customWidth="1"/>
    <col min="17" max="17" width="13.21875" bestFit="1" customWidth="1"/>
    <col min="18" max="19" width="12" bestFit="1" customWidth="1"/>
    <col min="20" max="20" width="12.77734375" bestFit="1" customWidth="1"/>
    <col min="21" max="23" width="12" bestFit="1" customWidth="1"/>
  </cols>
  <sheetData>
    <row r="1" spans="1:23" ht="28.8" x14ac:dyDescent="0.3">
      <c r="A1" s="5" t="s">
        <v>0</v>
      </c>
      <c r="B1" s="6" t="s">
        <v>1</v>
      </c>
      <c r="C1" s="6" t="s">
        <v>2</v>
      </c>
      <c r="D1" s="6" t="s">
        <v>3</v>
      </c>
      <c r="E1" s="6" t="s">
        <v>4</v>
      </c>
      <c r="F1" s="6" t="s">
        <v>5</v>
      </c>
      <c r="G1" s="6" t="s">
        <v>6</v>
      </c>
      <c r="H1" s="6" t="s">
        <v>7</v>
      </c>
      <c r="I1" s="6" t="s">
        <v>8</v>
      </c>
      <c r="J1" s="6" t="s">
        <v>9</v>
      </c>
      <c r="K1" s="6" t="s">
        <v>10</v>
      </c>
      <c r="L1" s="6" t="s">
        <v>11</v>
      </c>
      <c r="M1" s="7" t="s">
        <v>12</v>
      </c>
      <c r="O1" t="s">
        <v>57</v>
      </c>
    </row>
    <row r="2" spans="1:23" ht="29.4" thickBot="1" x14ac:dyDescent="0.35">
      <c r="A2" s="3" t="s">
        <v>13</v>
      </c>
      <c r="B2" s="2">
        <v>45292</v>
      </c>
      <c r="C2" s="1" t="s">
        <v>14</v>
      </c>
      <c r="D2" s="1" t="s">
        <v>15</v>
      </c>
      <c r="E2" s="1" t="s">
        <v>16</v>
      </c>
      <c r="F2" s="1" t="s">
        <v>17</v>
      </c>
      <c r="G2" s="1" t="s">
        <v>18</v>
      </c>
      <c r="H2" s="1">
        <v>50</v>
      </c>
      <c r="I2" s="1">
        <v>12</v>
      </c>
      <c r="J2" s="1">
        <v>5</v>
      </c>
      <c r="K2" s="1">
        <v>570</v>
      </c>
      <c r="L2" s="1">
        <v>450</v>
      </c>
      <c r="M2" s="4">
        <v>120</v>
      </c>
    </row>
    <row r="3" spans="1:23" ht="28.8" x14ac:dyDescent="0.3">
      <c r="A3" s="3" t="s">
        <v>19</v>
      </c>
      <c r="B3" s="2">
        <v>45294</v>
      </c>
      <c r="C3" s="1" t="s">
        <v>20</v>
      </c>
      <c r="D3" s="1" t="s">
        <v>21</v>
      </c>
      <c r="E3" s="1" t="s">
        <v>22</v>
      </c>
      <c r="F3" s="1" t="s">
        <v>23</v>
      </c>
      <c r="G3" s="1" t="s">
        <v>24</v>
      </c>
      <c r="H3" s="1">
        <v>40</v>
      </c>
      <c r="I3" s="1">
        <v>18</v>
      </c>
      <c r="J3" s="1">
        <v>10</v>
      </c>
      <c r="K3" s="1">
        <v>648</v>
      </c>
      <c r="L3" s="1">
        <v>500</v>
      </c>
      <c r="M3" s="4">
        <v>148</v>
      </c>
      <c r="O3" s="20" t="s">
        <v>58</v>
      </c>
      <c r="P3" s="20"/>
    </row>
    <row r="4" spans="1:23" ht="28.8" x14ac:dyDescent="0.3">
      <c r="A4" s="3" t="s">
        <v>25</v>
      </c>
      <c r="B4" s="2">
        <v>45296</v>
      </c>
      <c r="C4" s="1" t="s">
        <v>26</v>
      </c>
      <c r="D4" s="1" t="s">
        <v>27</v>
      </c>
      <c r="E4" s="1" t="s">
        <v>28</v>
      </c>
      <c r="F4" s="1" t="s">
        <v>17</v>
      </c>
      <c r="G4" s="1" t="s">
        <v>18</v>
      </c>
      <c r="H4" s="1">
        <v>60</v>
      </c>
      <c r="I4" s="1">
        <v>12</v>
      </c>
      <c r="J4" s="1">
        <v>0</v>
      </c>
      <c r="K4" s="1">
        <v>720</v>
      </c>
      <c r="L4" s="1">
        <v>540</v>
      </c>
      <c r="M4" s="4">
        <v>180</v>
      </c>
      <c r="O4" t="s">
        <v>59</v>
      </c>
      <c r="P4">
        <v>0.88111543829365091</v>
      </c>
    </row>
    <row r="5" spans="1:23" ht="28.8" x14ac:dyDescent="0.3">
      <c r="A5" s="3" t="s">
        <v>29</v>
      </c>
      <c r="B5" s="2">
        <v>45297</v>
      </c>
      <c r="C5" s="1" t="s">
        <v>30</v>
      </c>
      <c r="D5" s="1" t="s">
        <v>31</v>
      </c>
      <c r="E5" s="1" t="s">
        <v>32</v>
      </c>
      <c r="F5" s="1" t="s">
        <v>23</v>
      </c>
      <c r="G5" s="1" t="s">
        <v>24</v>
      </c>
      <c r="H5" s="1">
        <v>30</v>
      </c>
      <c r="I5" s="1">
        <v>18</v>
      </c>
      <c r="J5" s="1">
        <v>5</v>
      </c>
      <c r="K5" s="1">
        <v>513</v>
      </c>
      <c r="L5" s="1">
        <v>380</v>
      </c>
      <c r="M5" s="4">
        <v>133</v>
      </c>
      <c r="O5" t="s">
        <v>60</v>
      </c>
      <c r="P5">
        <v>0.77636441559941261</v>
      </c>
    </row>
    <row r="6" spans="1:23" ht="28.8" x14ac:dyDescent="0.3">
      <c r="A6" s="3" t="s">
        <v>33</v>
      </c>
      <c r="B6" s="2">
        <v>45299</v>
      </c>
      <c r="C6" s="1" t="s">
        <v>34</v>
      </c>
      <c r="D6" s="1" t="s">
        <v>35</v>
      </c>
      <c r="E6" s="1" t="s">
        <v>16</v>
      </c>
      <c r="F6" s="1" t="s">
        <v>17</v>
      </c>
      <c r="G6" s="1" t="s">
        <v>18</v>
      </c>
      <c r="H6" s="1">
        <v>80</v>
      </c>
      <c r="I6" s="1">
        <v>12</v>
      </c>
      <c r="J6" s="1">
        <v>8</v>
      </c>
      <c r="K6" s="1">
        <v>883</v>
      </c>
      <c r="L6" s="1">
        <v>700</v>
      </c>
      <c r="M6" s="4">
        <v>183</v>
      </c>
      <c r="O6" t="s">
        <v>61</v>
      </c>
      <c r="P6">
        <v>0.74840996754933919</v>
      </c>
    </row>
    <row r="7" spans="1:23" ht="28.8" x14ac:dyDescent="0.3">
      <c r="A7" s="3" t="s">
        <v>36</v>
      </c>
      <c r="B7" s="2">
        <v>45301</v>
      </c>
      <c r="C7" s="1" t="s">
        <v>37</v>
      </c>
      <c r="D7" s="1" t="s">
        <v>38</v>
      </c>
      <c r="E7" s="1" t="s">
        <v>22</v>
      </c>
      <c r="F7" s="1" t="s">
        <v>23</v>
      </c>
      <c r="G7" s="1" t="s">
        <v>24</v>
      </c>
      <c r="H7" s="1">
        <v>55</v>
      </c>
      <c r="I7" s="1">
        <v>18</v>
      </c>
      <c r="J7" s="1">
        <v>12</v>
      </c>
      <c r="K7" s="1">
        <v>871</v>
      </c>
      <c r="L7" s="1">
        <v>690</v>
      </c>
      <c r="M7" s="4">
        <v>181</v>
      </c>
      <c r="O7" t="s">
        <v>62</v>
      </c>
      <c r="P7">
        <v>12.587637069467057</v>
      </c>
    </row>
    <row r="8" spans="1:23" ht="29.4" thickBot="1" x14ac:dyDescent="0.35">
      <c r="A8" s="3" t="s">
        <v>39</v>
      </c>
      <c r="B8" s="2">
        <v>45303</v>
      </c>
      <c r="C8" s="1" t="s">
        <v>40</v>
      </c>
      <c r="D8" s="1" t="s">
        <v>41</v>
      </c>
      <c r="E8" s="1" t="s">
        <v>28</v>
      </c>
      <c r="F8" s="1" t="s">
        <v>17</v>
      </c>
      <c r="G8" s="1" t="s">
        <v>18</v>
      </c>
      <c r="H8" s="1">
        <v>70</v>
      </c>
      <c r="I8" s="1">
        <v>12</v>
      </c>
      <c r="J8" s="1">
        <v>6</v>
      </c>
      <c r="K8" s="1">
        <v>789</v>
      </c>
      <c r="L8" s="1">
        <v>620</v>
      </c>
      <c r="M8" s="4">
        <v>169</v>
      </c>
      <c r="O8" s="18" t="s">
        <v>63</v>
      </c>
      <c r="P8" s="18">
        <v>10</v>
      </c>
    </row>
    <row r="9" spans="1:23" ht="28.8" x14ac:dyDescent="0.3">
      <c r="A9" s="3" t="s">
        <v>42</v>
      </c>
      <c r="B9" s="2">
        <v>45305</v>
      </c>
      <c r="C9" s="1" t="s">
        <v>43</v>
      </c>
      <c r="D9" s="1" t="s">
        <v>44</v>
      </c>
      <c r="E9" s="1" t="s">
        <v>32</v>
      </c>
      <c r="F9" s="1" t="s">
        <v>23</v>
      </c>
      <c r="G9" s="1" t="s">
        <v>24</v>
      </c>
      <c r="H9" s="1">
        <v>45</v>
      </c>
      <c r="I9" s="1">
        <v>18</v>
      </c>
      <c r="J9" s="1">
        <v>7</v>
      </c>
      <c r="K9" s="1">
        <v>753</v>
      </c>
      <c r="L9" s="1">
        <v>600</v>
      </c>
      <c r="M9" s="4">
        <v>153</v>
      </c>
    </row>
    <row r="10" spans="1:23" ht="29.4" thickBot="1" x14ac:dyDescent="0.35">
      <c r="A10" s="3" t="s">
        <v>45</v>
      </c>
      <c r="B10" s="2">
        <v>45307</v>
      </c>
      <c r="C10" s="1" t="s">
        <v>46</v>
      </c>
      <c r="D10" s="1" t="s">
        <v>47</v>
      </c>
      <c r="E10" s="1" t="s">
        <v>16</v>
      </c>
      <c r="F10" s="1" t="s">
        <v>17</v>
      </c>
      <c r="G10" s="1" t="s">
        <v>18</v>
      </c>
      <c r="H10" s="1">
        <v>90</v>
      </c>
      <c r="I10" s="1">
        <v>12</v>
      </c>
      <c r="J10" s="1">
        <v>10</v>
      </c>
      <c r="K10" s="1">
        <v>972</v>
      </c>
      <c r="L10" s="1">
        <v>780</v>
      </c>
      <c r="M10" s="4">
        <v>192</v>
      </c>
      <c r="O10" t="s">
        <v>64</v>
      </c>
    </row>
    <row r="11" spans="1:23" ht="28.8" x14ac:dyDescent="0.3">
      <c r="A11" s="8" t="s">
        <v>48</v>
      </c>
      <c r="B11" s="9">
        <v>45309</v>
      </c>
      <c r="C11" s="10" t="s">
        <v>49</v>
      </c>
      <c r="D11" s="10" t="s">
        <v>50</v>
      </c>
      <c r="E11" s="10" t="s">
        <v>22</v>
      </c>
      <c r="F11" s="10" t="s">
        <v>23</v>
      </c>
      <c r="G11" s="10" t="s">
        <v>24</v>
      </c>
      <c r="H11" s="10">
        <v>35</v>
      </c>
      <c r="I11" s="10">
        <v>18</v>
      </c>
      <c r="J11" s="10">
        <v>4</v>
      </c>
      <c r="K11" s="10">
        <v>604</v>
      </c>
      <c r="L11" s="10">
        <v>470</v>
      </c>
      <c r="M11" s="11">
        <v>134</v>
      </c>
      <c r="O11" s="19"/>
      <c r="P11" s="19" t="s">
        <v>69</v>
      </c>
      <c r="Q11" s="19" t="s">
        <v>70</v>
      </c>
      <c r="R11" s="19" t="s">
        <v>71</v>
      </c>
      <c r="S11" s="19" t="s">
        <v>72</v>
      </c>
      <c r="T11" s="19" t="s">
        <v>73</v>
      </c>
    </row>
    <row r="12" spans="1:23" x14ac:dyDescent="0.3">
      <c r="O12" t="s">
        <v>65</v>
      </c>
      <c r="P12">
        <v>1</v>
      </c>
      <c r="Q12">
        <v>4400.5111440590308</v>
      </c>
      <c r="R12">
        <v>4400.5111440590308</v>
      </c>
      <c r="S12">
        <v>27.77248236877184</v>
      </c>
      <c r="T12">
        <v>7.5533049044900066E-4</v>
      </c>
    </row>
    <row r="13" spans="1:23" x14ac:dyDescent="0.3">
      <c r="O13" t="s">
        <v>66</v>
      </c>
      <c r="P13">
        <v>8</v>
      </c>
      <c r="Q13">
        <v>1267.5888559409696</v>
      </c>
      <c r="R13">
        <v>158.44860699262119</v>
      </c>
    </row>
    <row r="14" spans="1:23" ht="15" thickBot="1" x14ac:dyDescent="0.35">
      <c r="O14" s="18" t="s">
        <v>67</v>
      </c>
      <c r="P14" s="18">
        <v>9</v>
      </c>
      <c r="Q14" s="18">
        <v>5668.1</v>
      </c>
      <c r="R14" s="18"/>
      <c r="S14" s="18"/>
      <c r="T14" s="18"/>
    </row>
    <row r="15" spans="1:23" ht="15" thickBot="1" x14ac:dyDescent="0.35"/>
    <row r="16" spans="1:23" x14ac:dyDescent="0.3">
      <c r="O16" s="19"/>
      <c r="P16" s="19" t="s">
        <v>74</v>
      </c>
      <c r="Q16" s="19" t="s">
        <v>62</v>
      </c>
      <c r="R16" s="19" t="s">
        <v>75</v>
      </c>
      <c r="S16" s="19" t="s">
        <v>76</v>
      </c>
      <c r="T16" s="19" t="s">
        <v>77</v>
      </c>
      <c r="U16" s="19" t="s">
        <v>78</v>
      </c>
      <c r="V16" s="19" t="s">
        <v>79</v>
      </c>
      <c r="W16" s="19" t="s">
        <v>80</v>
      </c>
    </row>
    <row r="17" spans="15:23" x14ac:dyDescent="0.3">
      <c r="O17" t="s">
        <v>68</v>
      </c>
      <c r="P17">
        <v>59.48238052548102</v>
      </c>
      <c r="Q17">
        <v>19.354619856978676</v>
      </c>
      <c r="R17">
        <v>3.0732910780489195</v>
      </c>
      <c r="S17">
        <v>1.5271483064010201E-2</v>
      </c>
      <c r="T17">
        <v>14.850547099983508</v>
      </c>
      <c r="U17">
        <v>104.11421395097852</v>
      </c>
      <c r="V17">
        <v>14.850547099983508</v>
      </c>
      <c r="W17">
        <v>104.11421395097852</v>
      </c>
    </row>
    <row r="18" spans="15:23" ht="15" thickBot="1" x14ac:dyDescent="0.35">
      <c r="O18" s="18" t="s">
        <v>81</v>
      </c>
      <c r="P18" s="18">
        <v>0.17420177918764221</v>
      </c>
      <c r="Q18" s="18">
        <v>3.3055614605363007E-2</v>
      </c>
      <c r="R18" s="18">
        <v>5.2699603763948586</v>
      </c>
      <c r="S18" s="18">
        <v>7.5533049044900066E-4</v>
      </c>
      <c r="T18" s="18">
        <v>9.7975395215959854E-2</v>
      </c>
      <c r="U18" s="18">
        <v>0.25042816315932459</v>
      </c>
      <c r="V18" s="18">
        <v>9.7975395215959854E-2</v>
      </c>
      <c r="W18" s="18">
        <v>0.25042816315932459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7F315-9CD5-49FE-9858-6D48922B9E48}">
  <dimension ref="A1:Q17"/>
  <sheetViews>
    <sheetView topLeftCell="C1" workbookViewId="0">
      <selection activeCell="C1" sqref="C1:F11"/>
    </sheetView>
  </sheetViews>
  <sheetFormatPr defaultRowHeight="14.4" x14ac:dyDescent="0.3"/>
  <cols>
    <col min="1" max="1" width="12.77734375" bestFit="1" customWidth="1"/>
    <col min="2" max="2" width="10.33203125" bestFit="1" customWidth="1"/>
    <col min="16" max="16" width="16.109375" bestFit="1" customWidth="1"/>
    <col min="17" max="17" width="12.6640625" bestFit="1" customWidth="1"/>
  </cols>
  <sheetData>
    <row r="1" spans="1:17" ht="28.8" x14ac:dyDescent="0.3">
      <c r="A1" s="5" t="s">
        <v>0</v>
      </c>
      <c r="B1" s="6" t="s">
        <v>1</v>
      </c>
      <c r="C1" s="6" t="s">
        <v>2</v>
      </c>
      <c r="D1" s="6" t="s">
        <v>3</v>
      </c>
      <c r="E1" s="6" t="s">
        <v>4</v>
      </c>
      <c r="F1" s="6" t="s">
        <v>5</v>
      </c>
      <c r="G1" s="6" t="s">
        <v>6</v>
      </c>
      <c r="H1" s="6" t="s">
        <v>7</v>
      </c>
      <c r="I1" s="6" t="s">
        <v>8</v>
      </c>
      <c r="J1" s="6" t="s">
        <v>9</v>
      </c>
      <c r="K1" s="6" t="s">
        <v>10</v>
      </c>
      <c r="L1" s="6" t="s">
        <v>11</v>
      </c>
      <c r="M1" s="7" t="s">
        <v>12</v>
      </c>
    </row>
    <row r="2" spans="1:17" ht="28.8" x14ac:dyDescent="0.3">
      <c r="A2" s="3" t="s">
        <v>13</v>
      </c>
      <c r="B2" s="2">
        <v>45292</v>
      </c>
      <c r="C2" s="1" t="s">
        <v>14</v>
      </c>
      <c r="D2" s="1" t="s">
        <v>15</v>
      </c>
      <c r="E2" s="1" t="s">
        <v>16</v>
      </c>
      <c r="F2" s="1" t="s">
        <v>17</v>
      </c>
      <c r="G2" s="1" t="s">
        <v>18</v>
      </c>
      <c r="H2" s="1">
        <v>50</v>
      </c>
      <c r="I2" s="1">
        <v>12</v>
      </c>
      <c r="J2" s="1">
        <v>5</v>
      </c>
      <c r="K2" s="1">
        <v>570</v>
      </c>
      <c r="L2" s="1">
        <v>450</v>
      </c>
      <c r="M2" s="4">
        <v>120</v>
      </c>
    </row>
    <row r="3" spans="1:17" ht="28.8" x14ac:dyDescent="0.3">
      <c r="A3" s="3" t="s">
        <v>19</v>
      </c>
      <c r="B3" s="2">
        <v>45294</v>
      </c>
      <c r="C3" s="1" t="s">
        <v>20</v>
      </c>
      <c r="D3" s="1" t="s">
        <v>21</v>
      </c>
      <c r="E3" s="1" t="s">
        <v>22</v>
      </c>
      <c r="F3" s="1" t="s">
        <v>23</v>
      </c>
      <c r="G3" s="1" t="s">
        <v>24</v>
      </c>
      <c r="H3" s="1">
        <v>40</v>
      </c>
      <c r="I3" s="1">
        <v>18</v>
      </c>
      <c r="J3" s="1">
        <v>10</v>
      </c>
      <c r="K3" s="1">
        <v>648</v>
      </c>
      <c r="L3" s="1">
        <v>500</v>
      </c>
      <c r="M3" s="4">
        <v>148</v>
      </c>
      <c r="P3" s="22" t="s">
        <v>94</v>
      </c>
      <c r="Q3" s="22"/>
    </row>
    <row r="4" spans="1:17" ht="28.8" x14ac:dyDescent="0.3">
      <c r="A4" s="3" t="s">
        <v>25</v>
      </c>
      <c r="B4" s="2">
        <v>45296</v>
      </c>
      <c r="C4" s="1" t="s">
        <v>26</v>
      </c>
      <c r="D4" s="1" t="s">
        <v>27</v>
      </c>
      <c r="E4" s="1" t="s">
        <v>28</v>
      </c>
      <c r="F4" s="1" t="s">
        <v>17</v>
      </c>
      <c r="G4" s="1" t="s">
        <v>18</v>
      </c>
      <c r="H4" s="1">
        <v>60</v>
      </c>
      <c r="I4" s="1">
        <v>12</v>
      </c>
      <c r="J4" s="1">
        <v>0</v>
      </c>
      <c r="K4" s="1">
        <v>720</v>
      </c>
      <c r="L4" s="1">
        <v>540</v>
      </c>
      <c r="M4" s="4">
        <v>180</v>
      </c>
      <c r="P4" s="21" t="s">
        <v>82</v>
      </c>
      <c r="Q4" s="21">
        <v>732.3</v>
      </c>
    </row>
    <row r="5" spans="1:17" ht="28.8" x14ac:dyDescent="0.3">
      <c r="A5" s="3" t="s">
        <v>29</v>
      </c>
      <c r="B5" s="2">
        <v>45297</v>
      </c>
      <c r="C5" s="1" t="s">
        <v>30</v>
      </c>
      <c r="D5" s="1" t="s">
        <v>31</v>
      </c>
      <c r="E5" s="1" t="s">
        <v>32</v>
      </c>
      <c r="F5" s="1" t="s">
        <v>23</v>
      </c>
      <c r="G5" s="1" t="s">
        <v>24</v>
      </c>
      <c r="H5" s="1">
        <v>30</v>
      </c>
      <c r="I5" s="1">
        <v>18</v>
      </c>
      <c r="J5" s="1">
        <v>5</v>
      </c>
      <c r="K5" s="1">
        <v>513</v>
      </c>
      <c r="L5" s="1">
        <v>380</v>
      </c>
      <c r="M5" s="4">
        <v>133</v>
      </c>
      <c r="P5" s="21" t="s">
        <v>62</v>
      </c>
      <c r="Q5" s="21">
        <v>47.2816736872402</v>
      </c>
    </row>
    <row r="6" spans="1:17" ht="28.8" x14ac:dyDescent="0.3">
      <c r="A6" s="3" t="s">
        <v>33</v>
      </c>
      <c r="B6" s="2">
        <v>45299</v>
      </c>
      <c r="C6" s="1" t="s">
        <v>34</v>
      </c>
      <c r="D6" s="1" t="s">
        <v>35</v>
      </c>
      <c r="E6" s="1" t="s">
        <v>16</v>
      </c>
      <c r="F6" s="1" t="s">
        <v>17</v>
      </c>
      <c r="G6" s="1" t="s">
        <v>18</v>
      </c>
      <c r="H6" s="1">
        <v>80</v>
      </c>
      <c r="I6" s="1">
        <v>12</v>
      </c>
      <c r="J6" s="1">
        <v>8</v>
      </c>
      <c r="K6" s="1">
        <v>883</v>
      </c>
      <c r="L6" s="1">
        <v>700</v>
      </c>
      <c r="M6" s="4">
        <v>183</v>
      </c>
      <c r="P6" s="21" t="s">
        <v>83</v>
      </c>
      <c r="Q6" s="21">
        <v>736.5</v>
      </c>
    </row>
    <row r="7" spans="1:17" ht="28.8" x14ac:dyDescent="0.3">
      <c r="A7" s="3" t="s">
        <v>36</v>
      </c>
      <c r="B7" s="2">
        <v>45301</v>
      </c>
      <c r="C7" s="1" t="s">
        <v>37</v>
      </c>
      <c r="D7" s="1" t="s">
        <v>38</v>
      </c>
      <c r="E7" s="1" t="s">
        <v>22</v>
      </c>
      <c r="F7" s="1" t="s">
        <v>23</v>
      </c>
      <c r="G7" s="1" t="s">
        <v>24</v>
      </c>
      <c r="H7" s="1">
        <v>55</v>
      </c>
      <c r="I7" s="1">
        <v>18</v>
      </c>
      <c r="J7" s="1">
        <v>12</v>
      </c>
      <c r="K7" s="1">
        <v>871</v>
      </c>
      <c r="L7" s="1">
        <v>690</v>
      </c>
      <c r="M7" s="4">
        <v>181</v>
      </c>
      <c r="P7" s="21" t="s">
        <v>84</v>
      </c>
      <c r="Q7" s="21" t="e">
        <v>#N/A</v>
      </c>
    </row>
    <row r="8" spans="1:17" ht="28.8" x14ac:dyDescent="0.3">
      <c r="A8" s="3" t="s">
        <v>39</v>
      </c>
      <c r="B8" s="2">
        <v>45303</v>
      </c>
      <c r="C8" s="1" t="s">
        <v>40</v>
      </c>
      <c r="D8" s="1" t="s">
        <v>41</v>
      </c>
      <c r="E8" s="1" t="s">
        <v>28</v>
      </c>
      <c r="F8" s="1" t="s">
        <v>17</v>
      </c>
      <c r="G8" s="1" t="s">
        <v>18</v>
      </c>
      <c r="H8" s="1">
        <v>70</v>
      </c>
      <c r="I8" s="1">
        <v>12</v>
      </c>
      <c r="J8" s="1">
        <v>6</v>
      </c>
      <c r="K8" s="1">
        <v>789</v>
      </c>
      <c r="L8" s="1">
        <v>620</v>
      </c>
      <c r="M8" s="4">
        <v>169</v>
      </c>
      <c r="P8" s="21" t="s">
        <v>85</v>
      </c>
      <c r="Q8" s="21">
        <v>149.51778043653078</v>
      </c>
    </row>
    <row r="9" spans="1:17" ht="28.8" x14ac:dyDescent="0.3">
      <c r="A9" s="3" t="s">
        <v>42</v>
      </c>
      <c r="B9" s="2">
        <v>45305</v>
      </c>
      <c r="C9" s="1" t="s">
        <v>43</v>
      </c>
      <c r="D9" s="1" t="s">
        <v>44</v>
      </c>
      <c r="E9" s="1" t="s">
        <v>32</v>
      </c>
      <c r="F9" s="1" t="s">
        <v>23</v>
      </c>
      <c r="G9" s="1" t="s">
        <v>24</v>
      </c>
      <c r="H9" s="1">
        <v>45</v>
      </c>
      <c r="I9" s="1">
        <v>18</v>
      </c>
      <c r="J9" s="1">
        <v>7</v>
      </c>
      <c r="K9" s="1">
        <v>753</v>
      </c>
      <c r="L9" s="1">
        <v>600</v>
      </c>
      <c r="M9" s="4">
        <v>153</v>
      </c>
      <c r="P9" s="21" t="s">
        <v>86</v>
      </c>
      <c r="Q9" s="21">
        <v>22355.566666666626</v>
      </c>
    </row>
    <row r="10" spans="1:17" ht="28.8" x14ac:dyDescent="0.3">
      <c r="A10" s="3" t="s">
        <v>45</v>
      </c>
      <c r="B10" s="2">
        <v>45307</v>
      </c>
      <c r="C10" s="1" t="s">
        <v>46</v>
      </c>
      <c r="D10" s="1" t="s">
        <v>47</v>
      </c>
      <c r="E10" s="1" t="s">
        <v>16</v>
      </c>
      <c r="F10" s="1" t="s">
        <v>17</v>
      </c>
      <c r="G10" s="1" t="s">
        <v>18</v>
      </c>
      <c r="H10" s="1">
        <v>90</v>
      </c>
      <c r="I10" s="1">
        <v>12</v>
      </c>
      <c r="J10" s="1">
        <v>10</v>
      </c>
      <c r="K10" s="1">
        <v>972</v>
      </c>
      <c r="L10" s="1">
        <v>780</v>
      </c>
      <c r="M10" s="4">
        <v>192</v>
      </c>
      <c r="P10" s="21" t="s">
        <v>87</v>
      </c>
      <c r="Q10" s="21">
        <v>-1.0527054623026939</v>
      </c>
    </row>
    <row r="11" spans="1:17" ht="28.8" x14ac:dyDescent="0.3">
      <c r="A11" s="8" t="s">
        <v>48</v>
      </c>
      <c r="B11" s="9">
        <v>45309</v>
      </c>
      <c r="C11" s="10" t="s">
        <v>49</v>
      </c>
      <c r="D11" s="10" t="s">
        <v>50</v>
      </c>
      <c r="E11" s="10" t="s">
        <v>22</v>
      </c>
      <c r="F11" s="10" t="s">
        <v>23</v>
      </c>
      <c r="G11" s="10" t="s">
        <v>24</v>
      </c>
      <c r="H11" s="10">
        <v>35</v>
      </c>
      <c r="I11" s="10">
        <v>18</v>
      </c>
      <c r="J11" s="10">
        <v>4</v>
      </c>
      <c r="K11" s="10">
        <v>604</v>
      </c>
      <c r="L11" s="10">
        <v>470</v>
      </c>
      <c r="M11" s="11">
        <v>134</v>
      </c>
      <c r="P11" s="21" t="s">
        <v>88</v>
      </c>
      <c r="Q11" s="21">
        <v>0.10468426015204159</v>
      </c>
    </row>
    <row r="12" spans="1:17" x14ac:dyDescent="0.3">
      <c r="P12" s="21" t="s">
        <v>89</v>
      </c>
      <c r="Q12" s="21">
        <v>459</v>
      </c>
    </row>
    <row r="13" spans="1:17" x14ac:dyDescent="0.3">
      <c r="P13" s="21" t="s">
        <v>90</v>
      </c>
      <c r="Q13" s="21">
        <v>513</v>
      </c>
    </row>
    <row r="14" spans="1:17" x14ac:dyDescent="0.3">
      <c r="P14" s="21" t="s">
        <v>91</v>
      </c>
      <c r="Q14" s="21">
        <v>972</v>
      </c>
    </row>
    <row r="15" spans="1:17" x14ac:dyDescent="0.3">
      <c r="P15" s="21" t="s">
        <v>92</v>
      </c>
      <c r="Q15" s="21">
        <v>7323</v>
      </c>
    </row>
    <row r="16" spans="1:17" x14ac:dyDescent="0.3">
      <c r="P16" s="21" t="s">
        <v>93</v>
      </c>
      <c r="Q16" s="21">
        <v>10</v>
      </c>
    </row>
    <row r="17" spans="16:17" x14ac:dyDescent="0.3">
      <c r="P17" s="21"/>
      <c r="Q17" s="21"/>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0FC01-4F8E-4424-845C-DDCCE992042C}">
  <dimension ref="A1:C7"/>
  <sheetViews>
    <sheetView zoomScale="160" zoomScaleNormal="160" workbookViewId="0">
      <selection activeCell="C5" sqref="C5"/>
    </sheetView>
  </sheetViews>
  <sheetFormatPr defaultRowHeight="14.4" x14ac:dyDescent="0.3"/>
  <sheetData>
    <row r="1" spans="1:3" x14ac:dyDescent="0.3">
      <c r="A1" s="5" t="s">
        <v>95</v>
      </c>
      <c r="B1" s="6" t="s">
        <v>10</v>
      </c>
      <c r="C1" s="7" t="s">
        <v>96</v>
      </c>
    </row>
    <row r="2" spans="1:3" x14ac:dyDescent="0.3">
      <c r="A2" s="23" t="s">
        <v>97</v>
      </c>
      <c r="B2" s="24">
        <v>8500</v>
      </c>
      <c r="C2" s="25" t="e">
        <f>Table4[[#This Row],[Sales]]-B1/B1</f>
        <v>#VALUE!</v>
      </c>
    </row>
    <row r="3" spans="1:3" x14ac:dyDescent="0.3">
      <c r="A3" s="23" t="s">
        <v>98</v>
      </c>
      <c r="B3" s="24">
        <v>9200</v>
      </c>
      <c r="C3" s="25">
        <f>Table4[[#This Row],[Sales]]-B2/B2</f>
        <v>9199</v>
      </c>
    </row>
    <row r="4" spans="1:3" x14ac:dyDescent="0.3">
      <c r="A4" s="23" t="s">
        <v>99</v>
      </c>
      <c r="B4" s="24">
        <v>8800</v>
      </c>
      <c r="C4" s="25">
        <f>Table4[[#This Row],[Sales]]-B3/B3</f>
        <v>8799</v>
      </c>
    </row>
    <row r="5" spans="1:3" x14ac:dyDescent="0.3">
      <c r="A5" s="23" t="s">
        <v>100</v>
      </c>
      <c r="B5" s="24">
        <v>9600</v>
      </c>
      <c r="C5" s="25">
        <f>Table4[[#This Row],[Sales]]-B4/B4</f>
        <v>9599</v>
      </c>
    </row>
    <row r="6" spans="1:3" x14ac:dyDescent="0.3">
      <c r="A6" s="23" t="s">
        <v>101</v>
      </c>
      <c r="B6" s="24">
        <v>10300</v>
      </c>
      <c r="C6" s="25">
        <f>Table4[[#This Row],[Sales]]-B5/B5</f>
        <v>10299</v>
      </c>
    </row>
    <row r="7" spans="1:3" x14ac:dyDescent="0.3">
      <c r="A7" s="26" t="s">
        <v>102</v>
      </c>
      <c r="B7" s="27">
        <v>9900</v>
      </c>
      <c r="C7" s="28">
        <f>Table4[[#This Row],[Sales]]-B6/B6</f>
        <v>9899</v>
      </c>
    </row>
  </sheetData>
  <conditionalFormatting sqref="C2:C7">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6A319-F1C7-493B-B794-D45C7650C554}">
  <dimension ref="A1:E11"/>
  <sheetViews>
    <sheetView workbookViewId="0">
      <selection activeCell="K7" sqref="K7"/>
    </sheetView>
  </sheetViews>
  <sheetFormatPr defaultRowHeight="14.4" x14ac:dyDescent="0.3"/>
  <cols>
    <col min="1" max="1" width="15.33203125" bestFit="1" customWidth="1"/>
    <col min="5" max="5" width="15.33203125" bestFit="1" customWidth="1"/>
  </cols>
  <sheetData>
    <row r="1" spans="1:5" ht="28.8" x14ac:dyDescent="0.3">
      <c r="A1" s="16" t="s">
        <v>2</v>
      </c>
      <c r="B1" s="16" t="s">
        <v>3</v>
      </c>
      <c r="C1" s="16" t="s">
        <v>4</v>
      </c>
      <c r="D1" s="16" t="s">
        <v>5</v>
      </c>
      <c r="E1" s="16" t="s">
        <v>103</v>
      </c>
    </row>
    <row r="2" spans="1:5" ht="28.8" x14ac:dyDescent="0.3">
      <c r="A2" s="17" t="s">
        <v>14</v>
      </c>
      <c r="B2" s="17" t="s">
        <v>15</v>
      </c>
      <c r="C2" s="17" t="s">
        <v>16</v>
      </c>
      <c r="D2" s="17" t="s">
        <v>17</v>
      </c>
      <c r="E2" s="29">
        <f ca="1">NOW()</f>
        <v>46097.626132523146</v>
      </c>
    </row>
    <row r="3" spans="1:5" ht="28.8" x14ac:dyDescent="0.3">
      <c r="A3" s="1" t="s">
        <v>20</v>
      </c>
      <c r="B3" s="1" t="s">
        <v>21</v>
      </c>
      <c r="C3" s="1" t="s">
        <v>22</v>
      </c>
      <c r="D3" s="1" t="s">
        <v>23</v>
      </c>
      <c r="E3" s="29">
        <f t="shared" ref="E3:E11" ca="1" si="0">NOW()</f>
        <v>46097.626132523146</v>
      </c>
    </row>
    <row r="4" spans="1:5" ht="28.8" x14ac:dyDescent="0.3">
      <c r="A4" s="17" t="s">
        <v>26</v>
      </c>
      <c r="B4" s="17" t="s">
        <v>27</v>
      </c>
      <c r="C4" s="17" t="s">
        <v>28</v>
      </c>
      <c r="D4" s="17" t="s">
        <v>17</v>
      </c>
      <c r="E4" s="29">
        <f t="shared" ca="1" si="0"/>
        <v>46097.626132523146</v>
      </c>
    </row>
    <row r="5" spans="1:5" ht="28.8" x14ac:dyDescent="0.3">
      <c r="A5" s="1" t="s">
        <v>30</v>
      </c>
      <c r="B5" s="1" t="s">
        <v>31</v>
      </c>
      <c r="C5" s="1" t="s">
        <v>32</v>
      </c>
      <c r="D5" s="1" t="s">
        <v>23</v>
      </c>
      <c r="E5" s="29">
        <f t="shared" ca="1" si="0"/>
        <v>46097.626132523146</v>
      </c>
    </row>
    <row r="6" spans="1:5" ht="28.8" x14ac:dyDescent="0.3">
      <c r="A6" s="17" t="s">
        <v>34</v>
      </c>
      <c r="B6" s="17" t="s">
        <v>35</v>
      </c>
      <c r="C6" s="17" t="s">
        <v>16</v>
      </c>
      <c r="D6" s="17" t="s">
        <v>17</v>
      </c>
      <c r="E6" s="29">
        <f t="shared" ca="1" si="0"/>
        <v>46097.626132523146</v>
      </c>
    </row>
    <row r="7" spans="1:5" ht="28.8" x14ac:dyDescent="0.3">
      <c r="A7" s="1" t="s">
        <v>37</v>
      </c>
      <c r="B7" s="1" t="s">
        <v>38</v>
      </c>
      <c r="C7" s="1" t="s">
        <v>22</v>
      </c>
      <c r="D7" s="1" t="s">
        <v>23</v>
      </c>
      <c r="E7" s="29">
        <f t="shared" ca="1" si="0"/>
        <v>46097.626132523146</v>
      </c>
    </row>
    <row r="8" spans="1:5" ht="28.8" x14ac:dyDescent="0.3">
      <c r="A8" s="17" t="s">
        <v>40</v>
      </c>
      <c r="B8" s="17" t="s">
        <v>41</v>
      </c>
      <c r="C8" s="17" t="s">
        <v>28</v>
      </c>
      <c r="D8" s="17" t="s">
        <v>17</v>
      </c>
      <c r="E8" s="29">
        <f t="shared" ca="1" si="0"/>
        <v>46097.626132523146</v>
      </c>
    </row>
    <row r="9" spans="1:5" ht="28.8" x14ac:dyDescent="0.3">
      <c r="A9" s="1" t="s">
        <v>43</v>
      </c>
      <c r="B9" s="1" t="s">
        <v>44</v>
      </c>
      <c r="C9" s="1" t="s">
        <v>32</v>
      </c>
      <c r="D9" s="1" t="s">
        <v>23</v>
      </c>
      <c r="E9" s="29">
        <f t="shared" ca="1" si="0"/>
        <v>46097.626132523146</v>
      </c>
    </row>
    <row r="10" spans="1:5" ht="28.8" x14ac:dyDescent="0.3">
      <c r="A10" s="17" t="s">
        <v>46</v>
      </c>
      <c r="B10" s="17" t="s">
        <v>47</v>
      </c>
      <c r="C10" s="17" t="s">
        <v>16</v>
      </c>
      <c r="D10" s="17" t="s">
        <v>17</v>
      </c>
      <c r="E10" s="29">
        <f t="shared" ca="1" si="0"/>
        <v>46097.626132523146</v>
      </c>
    </row>
    <row r="11" spans="1:5" ht="28.8" x14ac:dyDescent="0.3">
      <c r="A11" s="1" t="s">
        <v>49</v>
      </c>
      <c r="B11" s="1" t="s">
        <v>50</v>
      </c>
      <c r="C11" s="1" t="s">
        <v>22</v>
      </c>
      <c r="D11" s="1" t="s">
        <v>23</v>
      </c>
      <c r="E11" s="29">
        <f t="shared" ca="1" si="0"/>
        <v>46097.626132523146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547A7-E223-4A37-9B82-4B1101BAF964}">
  <dimension ref="A1:O11"/>
  <sheetViews>
    <sheetView workbookViewId="0">
      <selection sqref="A1:M11"/>
    </sheetView>
  </sheetViews>
  <sheetFormatPr defaultRowHeight="14.4" x14ac:dyDescent="0.3"/>
  <cols>
    <col min="2" max="2" width="10.33203125" bestFit="1" customWidth="1"/>
  </cols>
  <sheetData>
    <row r="1" spans="1:15" ht="28.8" x14ac:dyDescent="0.3">
      <c r="A1" s="5" t="s">
        <v>0</v>
      </c>
      <c r="B1" s="6" t="s">
        <v>1</v>
      </c>
      <c r="C1" s="6" t="s">
        <v>2</v>
      </c>
      <c r="D1" s="6" t="s">
        <v>3</v>
      </c>
      <c r="E1" s="6" t="s">
        <v>4</v>
      </c>
      <c r="F1" s="6" t="s">
        <v>5</v>
      </c>
      <c r="G1" s="6" t="s">
        <v>6</v>
      </c>
      <c r="H1" s="6" t="s">
        <v>7</v>
      </c>
      <c r="I1" s="6" t="s">
        <v>8</v>
      </c>
      <c r="J1" s="6" t="s">
        <v>9</v>
      </c>
      <c r="K1" s="6" t="s">
        <v>10</v>
      </c>
      <c r="L1" s="6" t="s">
        <v>11</v>
      </c>
      <c r="M1" s="7" t="s">
        <v>12</v>
      </c>
    </row>
    <row r="2" spans="1:15" ht="28.8" x14ac:dyDescent="0.3">
      <c r="A2" s="3" t="s">
        <v>13</v>
      </c>
      <c r="B2" s="2">
        <v>45292</v>
      </c>
      <c r="C2" s="1" t="s">
        <v>14</v>
      </c>
      <c r="D2" s="1" t="s">
        <v>15</v>
      </c>
      <c r="E2" s="1" t="s">
        <v>16</v>
      </c>
      <c r="F2" s="1" t="s">
        <v>17</v>
      </c>
      <c r="G2" s="1" t="s">
        <v>18</v>
      </c>
      <c r="H2" s="1">
        <v>50</v>
      </c>
      <c r="I2" s="1">
        <v>12</v>
      </c>
      <c r="J2" s="1">
        <v>5</v>
      </c>
      <c r="K2" s="1">
        <v>570</v>
      </c>
      <c r="L2" s="1">
        <v>450</v>
      </c>
      <c r="M2" s="4">
        <v>120</v>
      </c>
    </row>
    <row r="3" spans="1:15" ht="28.8" x14ac:dyDescent="0.3">
      <c r="A3" s="3" t="s">
        <v>19</v>
      </c>
      <c r="B3" s="2">
        <v>45294</v>
      </c>
      <c r="C3" s="1" t="s">
        <v>20</v>
      </c>
      <c r="D3" s="1" t="s">
        <v>21</v>
      </c>
      <c r="E3" s="1" t="s">
        <v>22</v>
      </c>
      <c r="F3" s="1" t="s">
        <v>23</v>
      </c>
      <c r="G3" s="1" t="s">
        <v>24</v>
      </c>
      <c r="H3" s="1">
        <v>40</v>
      </c>
      <c r="I3" s="1">
        <v>18</v>
      </c>
      <c r="J3" s="1">
        <v>10</v>
      </c>
      <c r="K3" s="1">
        <v>648</v>
      </c>
      <c r="L3" s="1">
        <v>500</v>
      </c>
      <c r="M3" s="4">
        <v>148</v>
      </c>
    </row>
    <row r="4" spans="1:15" ht="28.8" x14ac:dyDescent="0.3">
      <c r="A4" s="3" t="s">
        <v>25</v>
      </c>
      <c r="B4" s="2">
        <v>45296</v>
      </c>
      <c r="C4" s="1" t="s">
        <v>26</v>
      </c>
      <c r="D4" s="1" t="s">
        <v>27</v>
      </c>
      <c r="E4" s="1" t="s">
        <v>28</v>
      </c>
      <c r="F4" s="1" t="s">
        <v>17</v>
      </c>
      <c r="G4" s="1" t="s">
        <v>18</v>
      </c>
      <c r="H4" s="1">
        <v>60</v>
      </c>
      <c r="I4" s="1">
        <v>12</v>
      </c>
      <c r="J4" s="1">
        <v>0</v>
      </c>
      <c r="K4" s="1">
        <v>720</v>
      </c>
      <c r="L4" s="1">
        <v>540</v>
      </c>
      <c r="M4" s="4">
        <v>180</v>
      </c>
    </row>
    <row r="5" spans="1:15" ht="28.8" x14ac:dyDescent="0.3">
      <c r="A5" s="3" t="s">
        <v>29</v>
      </c>
      <c r="B5" s="2">
        <v>45297</v>
      </c>
      <c r="C5" s="1" t="s">
        <v>30</v>
      </c>
      <c r="D5" s="1" t="s">
        <v>31</v>
      </c>
      <c r="E5" s="1" t="s">
        <v>32</v>
      </c>
      <c r="F5" s="1" t="s">
        <v>23</v>
      </c>
      <c r="G5" s="1" t="s">
        <v>24</v>
      </c>
      <c r="H5" s="1">
        <v>30</v>
      </c>
      <c r="I5" s="1">
        <v>18</v>
      </c>
      <c r="J5" s="1">
        <v>5</v>
      </c>
      <c r="K5" s="1">
        <v>513</v>
      </c>
      <c r="L5" s="1">
        <v>380</v>
      </c>
      <c r="M5" s="4">
        <v>133</v>
      </c>
      <c r="O5" t="e" cm="1">
        <f t="array" ref="O5">INDEX(Table16[Customer_Name],,MATCH(MAX(Table16[Sales]),Table16[Sales],0))</f>
        <v>#REF!</v>
      </c>
    </row>
    <row r="6" spans="1:15" ht="28.8" x14ac:dyDescent="0.3">
      <c r="A6" s="3" t="s">
        <v>33</v>
      </c>
      <c r="B6" s="2">
        <v>45299</v>
      </c>
      <c r="C6" s="1" t="s">
        <v>34</v>
      </c>
      <c r="D6" s="1" t="s">
        <v>35</v>
      </c>
      <c r="E6" s="1" t="s">
        <v>16</v>
      </c>
      <c r="F6" s="1" t="s">
        <v>17</v>
      </c>
      <c r="G6" s="1" t="s">
        <v>18</v>
      </c>
      <c r="H6" s="1">
        <v>80</v>
      </c>
      <c r="I6" s="1">
        <v>12</v>
      </c>
      <c r="J6" s="1">
        <v>8</v>
      </c>
      <c r="K6" s="1">
        <v>883</v>
      </c>
      <c r="L6" s="1">
        <v>700</v>
      </c>
      <c r="M6" s="4">
        <v>183</v>
      </c>
      <c r="O6" s="16" t="s">
        <v>104</v>
      </c>
    </row>
    <row r="7" spans="1:15" ht="28.8" x14ac:dyDescent="0.3">
      <c r="A7" s="3" t="s">
        <v>36</v>
      </c>
      <c r="B7" s="2">
        <v>45301</v>
      </c>
      <c r="C7" s="1" t="s">
        <v>37</v>
      </c>
      <c r="D7" s="1" t="s">
        <v>38</v>
      </c>
      <c r="E7" s="1" t="s">
        <v>22</v>
      </c>
      <c r="F7" s="1" t="s">
        <v>23</v>
      </c>
      <c r="G7" s="1" t="s">
        <v>24</v>
      </c>
      <c r="H7" s="1">
        <v>55</v>
      </c>
      <c r="I7" s="1">
        <v>18</v>
      </c>
      <c r="J7" s="1">
        <v>12</v>
      </c>
      <c r="K7" s="1">
        <v>871</v>
      </c>
      <c r="L7" s="1">
        <v>690</v>
      </c>
      <c r="M7" s="4">
        <v>181</v>
      </c>
      <c r="O7" s="30" t="str">
        <f>INDEX(Table16[[#All],[Customer_Name]],MATCH(MAX(Table16[Sales]),Table16[Sales],0))</f>
        <v>Rohan Jain</v>
      </c>
    </row>
    <row r="8" spans="1:15" ht="28.8" x14ac:dyDescent="0.3">
      <c r="A8" s="3" t="s">
        <v>39</v>
      </c>
      <c r="B8" s="2">
        <v>45303</v>
      </c>
      <c r="C8" s="1" t="s">
        <v>40</v>
      </c>
      <c r="D8" s="1" t="s">
        <v>41</v>
      </c>
      <c r="E8" s="1" t="s">
        <v>28</v>
      </c>
      <c r="F8" s="1" t="s">
        <v>17</v>
      </c>
      <c r="G8" s="1" t="s">
        <v>18</v>
      </c>
      <c r="H8" s="1">
        <v>70</v>
      </c>
      <c r="I8" s="1">
        <v>12</v>
      </c>
      <c r="J8" s="1">
        <v>6</v>
      </c>
      <c r="K8" s="1">
        <v>789</v>
      </c>
      <c r="L8" s="1">
        <v>620</v>
      </c>
      <c r="M8" s="4">
        <v>169</v>
      </c>
    </row>
    <row r="9" spans="1:15" ht="28.8" x14ac:dyDescent="0.3">
      <c r="A9" s="3" t="s">
        <v>42</v>
      </c>
      <c r="B9" s="2">
        <v>45305</v>
      </c>
      <c r="C9" s="1" t="s">
        <v>43</v>
      </c>
      <c r="D9" s="1" t="s">
        <v>44</v>
      </c>
      <c r="E9" s="1" t="s">
        <v>32</v>
      </c>
      <c r="F9" s="1" t="s">
        <v>23</v>
      </c>
      <c r="G9" s="1" t="s">
        <v>24</v>
      </c>
      <c r="H9" s="1">
        <v>45</v>
      </c>
      <c r="I9" s="1">
        <v>18</v>
      </c>
      <c r="J9" s="1">
        <v>7</v>
      </c>
      <c r="K9" s="1">
        <v>753</v>
      </c>
      <c r="L9" s="1">
        <v>600</v>
      </c>
      <c r="M9" s="4">
        <v>153</v>
      </c>
    </row>
    <row r="10" spans="1:15" ht="28.8" x14ac:dyDescent="0.3">
      <c r="A10" s="3" t="s">
        <v>45</v>
      </c>
      <c r="B10" s="2">
        <v>45307</v>
      </c>
      <c r="C10" s="1" t="s">
        <v>46</v>
      </c>
      <c r="D10" s="1" t="s">
        <v>47</v>
      </c>
      <c r="E10" s="1" t="s">
        <v>16</v>
      </c>
      <c r="F10" s="1" t="s">
        <v>17</v>
      </c>
      <c r="G10" s="1" t="s">
        <v>18</v>
      </c>
      <c r="H10" s="1">
        <v>90</v>
      </c>
      <c r="I10" s="1">
        <v>12</v>
      </c>
      <c r="J10" s="1">
        <v>10</v>
      </c>
      <c r="K10" s="1">
        <v>972</v>
      </c>
      <c r="L10" s="1">
        <v>780</v>
      </c>
      <c r="M10" s="4">
        <v>192</v>
      </c>
    </row>
    <row r="11" spans="1:15" ht="28.8" x14ac:dyDescent="0.3">
      <c r="A11" s="8" t="s">
        <v>48</v>
      </c>
      <c r="B11" s="9">
        <v>45309</v>
      </c>
      <c r="C11" s="10" t="s">
        <v>49</v>
      </c>
      <c r="D11" s="10" t="s">
        <v>50</v>
      </c>
      <c r="E11" s="10" t="s">
        <v>22</v>
      </c>
      <c r="F11" s="10" t="s">
        <v>23</v>
      </c>
      <c r="G11" s="10" t="s">
        <v>24</v>
      </c>
      <c r="H11" s="10">
        <v>35</v>
      </c>
      <c r="I11" s="10">
        <v>18</v>
      </c>
      <c r="J11" s="10">
        <v>4</v>
      </c>
      <c r="K11" s="10">
        <v>604</v>
      </c>
      <c r="L11" s="10">
        <v>470</v>
      </c>
      <c r="M11" s="11">
        <v>134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F903A-083D-4099-8A70-0A91E3A93BA7}">
  <dimension ref="A3:D9"/>
  <sheetViews>
    <sheetView workbookViewId="0">
      <selection activeCell="F14" sqref="F14"/>
    </sheetView>
  </sheetViews>
  <sheetFormatPr defaultRowHeight="14.4" x14ac:dyDescent="0.3"/>
  <cols>
    <col min="1" max="1" width="12.44140625" bestFit="1" customWidth="1"/>
    <col min="2" max="2" width="15.5546875" bestFit="1" customWidth="1"/>
    <col min="3" max="3" width="12.77734375" bestFit="1" customWidth="1"/>
    <col min="4" max="4" width="10.5546875" bestFit="1" customWidth="1"/>
    <col min="5" max="5" width="5.21875" bestFit="1" customWidth="1"/>
    <col min="6" max="7" width="10.5546875" bestFit="1" customWidth="1"/>
    <col min="8" max="8" width="9.6640625" bestFit="1" customWidth="1"/>
    <col min="9" max="9" width="10.5546875" bestFit="1" customWidth="1"/>
  </cols>
  <sheetData>
    <row r="3" spans="1:4" x14ac:dyDescent="0.3">
      <c r="A3" s="12" t="s">
        <v>54</v>
      </c>
      <c r="B3" s="12" t="s">
        <v>53</v>
      </c>
    </row>
    <row r="4" spans="1:4" x14ac:dyDescent="0.3">
      <c r="A4" s="12" t="s">
        <v>51</v>
      </c>
      <c r="B4" t="s">
        <v>17</v>
      </c>
      <c r="C4" t="s">
        <v>23</v>
      </c>
      <c r="D4" t="s">
        <v>52</v>
      </c>
    </row>
    <row r="5" spans="1:4" x14ac:dyDescent="0.3">
      <c r="A5" s="13" t="s">
        <v>32</v>
      </c>
      <c r="C5">
        <v>1266</v>
      </c>
      <c r="D5">
        <v>1266</v>
      </c>
    </row>
    <row r="6" spans="1:4" x14ac:dyDescent="0.3">
      <c r="A6" s="13" t="s">
        <v>22</v>
      </c>
      <c r="C6">
        <v>2123</v>
      </c>
      <c r="D6">
        <v>2123</v>
      </c>
    </row>
    <row r="7" spans="1:4" x14ac:dyDescent="0.3">
      <c r="A7" s="13" t="s">
        <v>28</v>
      </c>
      <c r="B7">
        <v>1509</v>
      </c>
      <c r="D7">
        <v>1509</v>
      </c>
    </row>
    <row r="8" spans="1:4" x14ac:dyDescent="0.3">
      <c r="A8" s="13" t="s">
        <v>16</v>
      </c>
      <c r="B8">
        <v>2425</v>
      </c>
      <c r="D8">
        <v>2425</v>
      </c>
    </row>
    <row r="9" spans="1:4" x14ac:dyDescent="0.3">
      <c r="A9" s="13" t="s">
        <v>52</v>
      </c>
      <c r="B9">
        <v>3934</v>
      </c>
      <c r="C9">
        <v>3389</v>
      </c>
      <c r="D9">
        <v>7323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444F-032A-4E49-B7C8-B8906FA3AA85}">
  <dimension ref="A1:V15"/>
  <sheetViews>
    <sheetView topLeftCell="F1" workbookViewId="0">
      <selection activeCell="V7" sqref="V7"/>
    </sheetView>
  </sheetViews>
  <sheetFormatPr defaultRowHeight="14.4" x14ac:dyDescent="0.3"/>
  <cols>
    <col min="1" max="1" width="11.5546875" bestFit="1" customWidth="1"/>
    <col min="2" max="2" width="15.5546875" bestFit="1" customWidth="1"/>
    <col min="3" max="3" width="10.5546875" bestFit="1" customWidth="1"/>
    <col min="4" max="4" width="5.77734375" bestFit="1" customWidth="1"/>
    <col min="5" max="5" width="5.21875" bestFit="1" customWidth="1"/>
    <col min="6" max="6" width="10.5546875" bestFit="1" customWidth="1"/>
    <col min="10" max="10" width="12.44140625" bestFit="1" customWidth="1"/>
    <col min="11" max="11" width="11.5546875" bestFit="1" customWidth="1"/>
    <col min="12" max="20" width="4" bestFit="1" customWidth="1"/>
    <col min="21" max="21" width="12.44140625" bestFit="1" customWidth="1"/>
    <col min="22" max="22" width="11.5546875" bestFit="1" customWidth="1"/>
    <col min="23" max="31" width="4" bestFit="1" customWidth="1"/>
    <col min="32" max="32" width="10.5546875" bestFit="1" customWidth="1"/>
  </cols>
  <sheetData>
    <row r="1" spans="1:22" x14ac:dyDescent="0.3">
      <c r="J1" s="12" t="s">
        <v>51</v>
      </c>
      <c r="K1" t="s">
        <v>54</v>
      </c>
    </row>
    <row r="2" spans="1:22" x14ac:dyDescent="0.3">
      <c r="J2" s="13" t="s">
        <v>23</v>
      </c>
      <c r="K2">
        <v>3389</v>
      </c>
    </row>
    <row r="3" spans="1:22" x14ac:dyDescent="0.3">
      <c r="B3" s="12" t="s">
        <v>53</v>
      </c>
      <c r="J3" s="13" t="s">
        <v>52</v>
      </c>
      <c r="K3">
        <v>3389</v>
      </c>
    </row>
    <row r="4" spans="1:22" x14ac:dyDescent="0.3">
      <c r="B4" t="s">
        <v>32</v>
      </c>
      <c r="C4" t="s">
        <v>52</v>
      </c>
      <c r="U4" s="12" t="s">
        <v>51</v>
      </c>
      <c r="V4" t="s">
        <v>54</v>
      </c>
    </row>
    <row r="5" spans="1:22" x14ac:dyDescent="0.3">
      <c r="A5" t="s">
        <v>54</v>
      </c>
      <c r="B5">
        <v>1266</v>
      </c>
      <c r="C5">
        <v>1266</v>
      </c>
      <c r="U5" s="31">
        <v>45292</v>
      </c>
      <c r="V5">
        <v>570</v>
      </c>
    </row>
    <row r="6" spans="1:22" x14ac:dyDescent="0.3">
      <c r="U6" s="31">
        <v>45294</v>
      </c>
      <c r="V6">
        <v>648</v>
      </c>
    </row>
    <row r="7" spans="1:22" x14ac:dyDescent="0.3">
      <c r="U7" s="31">
        <v>45296</v>
      </c>
      <c r="V7">
        <v>720</v>
      </c>
    </row>
    <row r="8" spans="1:22" x14ac:dyDescent="0.3">
      <c r="U8" s="31">
        <v>45297</v>
      </c>
      <c r="V8">
        <v>513</v>
      </c>
    </row>
    <row r="9" spans="1:22" x14ac:dyDescent="0.3">
      <c r="U9" s="31">
        <v>45299</v>
      </c>
      <c r="V9">
        <v>883</v>
      </c>
    </row>
    <row r="10" spans="1:22" x14ac:dyDescent="0.3">
      <c r="U10" s="31">
        <v>45301</v>
      </c>
      <c r="V10">
        <v>871</v>
      </c>
    </row>
    <row r="11" spans="1:22" x14ac:dyDescent="0.3">
      <c r="U11" s="31">
        <v>45303</v>
      </c>
      <c r="V11">
        <v>789</v>
      </c>
    </row>
    <row r="12" spans="1:22" x14ac:dyDescent="0.3">
      <c r="U12" s="31">
        <v>45305</v>
      </c>
      <c r="V12">
        <v>753</v>
      </c>
    </row>
    <row r="13" spans="1:22" x14ac:dyDescent="0.3">
      <c r="U13" s="31">
        <v>45307</v>
      </c>
      <c r="V13">
        <v>972</v>
      </c>
    </row>
    <row r="14" spans="1:22" x14ac:dyDescent="0.3">
      <c r="U14" s="31">
        <v>45309</v>
      </c>
      <c r="V14">
        <v>604</v>
      </c>
    </row>
    <row r="15" spans="1:22" x14ac:dyDescent="0.3">
      <c r="U15" s="31" t="s">
        <v>52</v>
      </c>
      <c r="V15">
        <v>7323</v>
      </c>
    </row>
  </sheetData>
  <pageMargins left="0.7" right="0.7" top="0.75" bottom="0.75" header="0.3" footer="0.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52A6-13E9-466D-B338-0F2E7A3CF859}">
  <dimension ref="A1"/>
  <sheetViews>
    <sheetView showGridLines="0" tabSelected="1" zoomScaleNormal="100" workbookViewId="0">
      <selection activeCell="T29" sqref="T29"/>
    </sheetView>
  </sheetViews>
  <sheetFormatPr defaultRowHeight="14.4" x14ac:dyDescent="0.3"/>
  <sheetData/>
  <pageMargins left="0.7" right="0.7" top="0.75" bottom="0.75" header="0.3" footer="0.3"/>
  <pageSetup orientation="portrait" r:id="rId1"/>
  <headerFooter>
    <oddHeader xml:space="preserve">&amp;Cdash board
</oddHeader>
  </headerFooter>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vt:lpstr>
      <vt:lpstr>con_format</vt:lpstr>
      <vt:lpstr>what_if</vt:lpstr>
      <vt:lpstr>linear regresison</vt:lpstr>
      <vt:lpstr>descreptive stats</vt:lpstr>
      <vt:lpstr>GROWTH</vt:lpstr>
      <vt:lpstr>now(_</vt:lpstr>
      <vt:lpstr>INDEX + MATCH</vt:lpstr>
      <vt:lpstr>pivot</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 k</dc:creator>
  <cp:lastModifiedBy>het k</cp:lastModifiedBy>
  <dcterms:created xsi:type="dcterms:W3CDTF">2026-03-15T17:10:51Z</dcterms:created>
  <dcterms:modified xsi:type="dcterms:W3CDTF">2026-03-16T09:31:45Z</dcterms:modified>
</cp:coreProperties>
</file>